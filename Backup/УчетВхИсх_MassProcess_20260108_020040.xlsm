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60c21f3376504b9d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erga\Desktop\Наработки\AccountingIncOut\"/>
    </mc:Choice>
  </mc:AlternateContent>
  <xr:revisionPtr revIDLastSave="0" documentId="8_{0CD2BB63-4C1B-418B-8A63-898854BBCFC2}" xr6:coauthVersionLast="47" xr6:coauthVersionMax="47" xr10:uidLastSave="{00000000-0000-0000-0000-000000000000}"/>
  <bookViews>
    <workbookView xWindow="28680" yWindow="-330" windowWidth="29040" windowHeight="15840" tabRatio="745" firstSheet="7" activeTab="7" xr2:uid="{00000000-000D-0000-FFFF-FFFF00000000}"/>
  </bookViews>
  <sheets>
    <sheet name="Отчеты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ВхИсх" sheetId="1" r:id="rId8"/>
    <sheet name="Настройки" sheetId="2" r:id="rId9"/>
    <sheet name="Настройки_Системы" sheetId="3" r:id="rId10"/>
    <sheet name="СистемныеНастройки" sheetId="11" state="veryHidden" r:id="rId11"/>
    <sheet name="ЖурналОпераций" sheetId="12" state="veryHidden" r:id="rId12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Отчеты!$B$18</definedName>
    <definedName name="ReportDateTo">Отчеты!$B$19</definedName>
    <definedName name="ReportExecutor">Отчеты!$B$22</definedName>
    <definedName name="ReportService">Отчеты!$B$20</definedName>
    <definedName name="ReportStatus">Отчеты!$B$21</definedName>
    <definedName name="StatusList">Настройки_Отчетов!$A$4:$A$9</definedName>
    <definedName name="ThresholdSettings">Настройки_Отчетов!$H$5:$J$10</definedName>
    <definedName name="_xlnm.Print_Area" localSheetId="7">ВходящиеИсходящие[#All]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<sst xmlns="http://schemas.openxmlformats.org/spreadsheetml/2006/main" count="850" uniqueCount="263">
  <si>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</si>
  <si>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</si>
  <si>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</si>
  <si>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</si>
  <si>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</si>
  <si>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</si>
  <si>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</si>
  <si>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</si>
  <si>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</si>
  <si>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</si>
  <si>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</si>
  <si>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</si>
  <si>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</si>
  <si>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</si>
  <si>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</si>
  <si>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</si>
  <si>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</si>
  <si>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</si>
  <si>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</si>
  <si>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</si>
  <si>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</si>
  <si>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</si>
  <si>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</si>
  <si>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</si>
  <si>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</si>
  <si>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</si>
  <si>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</si>
  <si>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</si>
  <si>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</si>
  <si>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</si>
  <si>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</si>
  <si>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</si>
  <si>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</si>
  <si>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</si>
  <si>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</si>
  <si>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</si>
  <si>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</si>
  <si>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</si>
  <si>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</si>
  <si>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</si>
  <si>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</si>
  <si>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</si>
  <si>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</si>
  <si>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</si>
  <si>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</si>
  <si>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</si>
  <si>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</si>
  <si>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</si>
  <si>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</si>
  <si>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</si>
  <si>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</si>
  <si>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</si>
  <si>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</si>
  <si>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</si>
  <si>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</si>
  <si>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</si>
  <si>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</si>
  <si>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</si>
  <si>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</si>
  <si>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</si>
  <si>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</si>
  <si>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</si>
  <si>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</si>
  <si>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</si>
  <si>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</si>
  <si>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</si>
  <si>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</si>
  <si>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</si>
  <si>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</si>
  <si>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</si>
  <si>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</si>
  <si>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</si>
  <si>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</si>
  <si>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</si>
  <si>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</si>
  <si>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</si>
  <si>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</si>
  <si>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</si>
  <si>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</si>
  <si>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</si>
  <si>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</si>
  <si>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</si>
  <si>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</si>
  <si>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</si>
  <si>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</si>
  <si>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</si>
  <si>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</si>
  <si>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</si>
  <si>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</si>
  <si>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</si>
  <si>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</si>
  <si>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</si>
  <si>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</si>
  <si>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</si>
  <si>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</si>
  <si>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</si>
  <si>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</si>
  <si>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</si>
  <si>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</si>
  <si>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</si>
  <si>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</si>
  <si>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</si>
  <si>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</si>
  <si>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</si>
  <si>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</si>
  <si>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</si>
  <si>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</si>
  <si>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</si>
  <si>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</si>
  <si>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</si>
  <si>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</si>
  <si>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</si>
  <si>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</si>
  <si>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</si>
  <si>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</si>
  <si>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</si>
  <si>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</si>
  <si>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</si>
  <si>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</si>
  <si>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</si>
  <si>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</si>
  <si>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</si>
  <si>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</si>
  <si>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</si>
  <si>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</si>
  <si>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</si>
  <si>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</si>
  <si>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</si>
  <si>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</si>
  <si>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</si>
  <si>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</si>
  <si>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</si>
  <si>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</si>
  <si>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</si>
  <si>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</si>
  <si>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</si>
  <si>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</si>
  <si>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</si>
  <si>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</si>
  <si>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</si>
  <si>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</si>
  <si>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</si>
  <si>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</si>
  <si>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</si>
  <si>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</si>
  <si>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</si>
  <si>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</si>
  <si>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</si>
  <si>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</si>
  <si>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</si>
  <si>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</si>
  <si>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</si>
  <si>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</si>
  <si>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</si>
  <si>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</si>
  <si>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</si>
  <si>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</si>
  <si>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</si>
  <si>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</si>
  <si>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</si>
  <si>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</si>
  <si>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</si>
  <si>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</si>
  <si>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</si>
  <si>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</si>
  <si>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</si>
  <si>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</si>
  <si>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</si>
  <si>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</si>
  <si>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</si>
  <si>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</si>
  <si>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</si>
  <si>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</si>
  <si>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</si>
  <si>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</si>
  <si>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</si>
  <si>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</si>
  <si>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</si>
  <si>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</si>
  <si>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</si>
  <si>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</si>
  <si>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</si>
  <si>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</si>
  <si>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</si>
  <si>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</si>
  <si>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</si>
  <si>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</si>
  <si>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</si>
  <si>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</si>
  <si>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</si>
  <si>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</si>
  <si>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</si>
  <si>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</si>
  <si>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</si>
  <si>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</si>
  <si>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</si>
  <si>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</si>
  <si>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</si>
  <si>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</si>
  <si>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</si>
  <si>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</si>
  <si>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</si>
  <si>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</si>
  <si>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</si>
  <si>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</si>
  <si>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</si>
  <si>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</si>
  <si>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</si>
  <si>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</si>
  <si>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</si>
  <si>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</si>
  <si>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</si>
  <si>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</si>
  <si>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</si>
  <si>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</si>
  <si>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</si>
  <si>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</si>
  <si>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</si>
  <si>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</si>
  <si>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</si>
  <si>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</si>
  <si>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</si>
  <si>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</si>
  <si>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</si>
  <si>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</si>
  <si>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</si>
  <si>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</si>
  <si>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</si>
  <si>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</si>
  <si>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</si>
  <si>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</si>
  <si>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</si>
  <si>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</si>
  <si>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</si>
  <si>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SystemStart</t>
  </si>
  <si>
    <t>Система УчётВхИсх запущена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</si>
  <si>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</si>
  <si>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</si>
  <si>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</si>
  <si>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</si>
  <si>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Help</t>
  </si>
  <si>
    <t>Открыта справка системы</t>
  </si>
  <si>
    <t>MassProcess</t>
  </si>
  <si>
    <t>Backup</t>
  </si>
  <si>
    <t>Удалено старых копий: 1</t>
  </si>
  <si>
    <t>GenerateLetters</t>
  </si>
  <si>
    <t>Начало формирования писем по доверенностям</t>
  </si>
  <si>
    <t>Создана резервная копия: УчетВхИсх_GenerateLetters_20250905_005718.xlsm</t>
  </si>
  <si>
    <t>Формирование писем завершено успешно</t>
  </si>
  <si>
    <t>Создана резервная копия: УчетВхИсх_GenerateLetters_20250905_005854.xlsm</t>
  </si>
  <si>
    <t>Создана резервная копия: УчетВхИсх_GenerateLetters_20250905_013111.xlsm</t>
  </si>
  <si>
    <t>Создана резервная копия: УчетВхИсх_GenerateLetters_20250905_013300.xlsm</t>
  </si>
  <si>
    <t>Создана резервная копия: УчетВхИсх_GenerateLetters_20250905_013619.xlsm</t>
  </si>
  <si>
    <t>Создана резервная копия: УчетВхИсх_GenerateLetters_20250907_181832.xlsm</t>
  </si>
  <si>
    <t>Создана резервная копия: УчетВхИсх_GenerateLetters_20250907_201625.xlsm</t>
  </si>
  <si>
    <t>Создана резервная копия: УчетВхИсх_GenerateLetters_20250907_202007.xlsm</t>
  </si>
  <si>
    <t>Создана резервная копия: УчетВхИсх_GenerateLetters_20250907_202655.xlsm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</si>
  <si>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</si>
  <si>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</si>
  <si>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</si>
  <si>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</si>
  <si>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</si>
  <si>
    <t>Начало массовой обработки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</si>
</sst>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14" fontId="1" fillId="0" borderId="15" xfId="0" applyNumberFormat="1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3" fillId="0" borderId="3" xfId="0" applyFont="1" applyBorder="1"/>
    <xf numFmtId="14" fontId="1" fillId="0" borderId="6" xfId="0" applyNumberFormat="1" applyFont="1" applyBorder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25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ВходящиеИсходящие" displayName="ВходящиеИсходящие" ref="A1:T41" totalsRowShown="0" headerRowDxfId="24" dataDxfId="22" headerRowBorderDxfId="23" tableBorderDxfId="21" totalsRowBorderDxfId="20">
  <autoFilter ref="A1:T41" xr:uid="{8FC333FD-63F0-4E9F-8CC6-93898C581D70}"/>
  <tableColumns count="20">
    <tableColumn id="1" xr3:uid="{0A0BECDC-9AA9-45A9-93C5-A71027738DF1}" name="№ П/П" dataDxfId="19"/>
    <tableColumn id="2" xr3:uid="{7D3AF814-5A71-4C3F-BC3F-BBAF8DEEE2E7}" name="Служба" dataDxfId="18"/>
    <tableColumn id="3" xr3:uid="{365555A8-3665-4DEF-B987-52EF345766E1}" name="ТипДокумента" dataDxfId="17"/>
    <tableColumn id="4" xr3:uid="{53435FF3-B8A9-456D-AF80-FFDC3DAAE625}" name="Вид документа" dataDxfId="16"/>
    <tableColumn id="5" xr3:uid="{818D1262-D680-438D-9FF8-924BA7C94EBC}" name="НомерДокумента" dataDxfId="15"/>
    <tableColumn id="6" xr3:uid="{869ADC8B-513C-42DC-9125-8E28CE5D003A}" name="Сумма документа" dataDxfId="14"/>
    <tableColumn id="7" xr3:uid="{9A8BA24E-DD64-491D-A534-DA7AC273AC53}" name="Вх.ФРП_x000a_Исх.ФРП" dataDxfId="13"/>
    <tableColumn id="8" xr3:uid="{D689A096-72DB-479D-A1C3-83B1A6E07749}" name="ДатаВх. ФРП_x000a_ДатаИсх. ФРП" dataDxfId="12"/>
    <tableColumn id="9" xr3:uid="{8F317CDC-63AB-4AFA-9783-525361163DBB}" name="От кого поступил (куда направлен)" dataDxfId="11"/>
    <tableColumn id="10" xr3:uid="{0C8FEDCC-833A-4421-A114-D556AD7C01F4}" name="ДатаПередачиИсполнителю" dataDxfId="10"/>
    <tableColumn id="11" xr3:uid="{2FED1E3D-C0CD-4C17-BB2F-7E74DBEF5294}" name="Исполнитель" dataDxfId="9"/>
    <tableColumn id="12" xr3:uid="{8FCD9A91-4B1E-4E29-A876-CCF80E72A90B}" name="НомерИсхВСлужбу" dataDxfId="8"/>
    <tableColumn id="13" xr3:uid="{4F11E080-1F05-4B76-AACC-F4A383AE060D}" name="ДатаИсхВСлужбу" dataDxfId="7"/>
    <tableColumn id="14" xr3:uid="{FF9857D9-4E85-402C-86D7-88B37F3ACA1D}" name="Номер возвратаСоСлужбы" dataDxfId="6"/>
    <tableColumn id="15" xr3:uid="{52BFD158-EA44-434B-AA42-01E0C3D4A7E9}" name="Дата возвратаСоСлужбы" dataDxfId="5"/>
    <tableColumn id="16" xr3:uid="{686ECA96-0F1B-4B29-BC39-092A4499DEB4}" name="НомерИсхКонверт/НомерВхКонверт" dataDxfId="4"/>
    <tableColumn id="17" xr3:uid="{D990D222-9B31-4107-BF15-587101F720C5}" name="ДатаИсхКонверт/ДатаВхКонверт" dataDxfId="3"/>
    <tableColumn id="18" xr3:uid="{8840F3E8-146B-4C66-BFDC-7BD58E7D906B}" name="Отметка об исполнении (номер документа в 1С)" dataDxfId="2"/>
    <tableColumn id="19" xr3:uid="{682814E1-D1D5-4AF0-821D-64A2A90ED13A}" name="СтатусПодтверждения" dataDxfId="1"/>
    <tableColumn id="20" xr3:uid="{AA21424A-3A1E-466C-B04B-7530BBA979B4}" name="Наряд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88" t="s">
        <v>54</v>
      </c>
      <c r="B1" s="88"/>
      <c r="C1" s="88"/>
      <c r="D1" s="88"/>
      <c r="E1" s="88"/>
      <c r="F1" s="88"/>
      <c r="G1" s="88"/>
      <c r="H1" s="88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46000</v>
      </c>
    </row>
    <row r="19" spans="1:5" x14ac:dyDescent="0.25">
      <c r="A19" s="12" t="s">
        <v>60</v>
      </c>
      <c r="B19" s="13">
        <f ca="1">TODAY()</f>
        <v>46030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Настройки!$A$2:$A$12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Настройки!$E$2:$E$4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89" t="s">
        <v>70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46030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46000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4" t="s">
        <v>143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P1" s="90" t="s">
        <v>180</v>
      </c>
      <c r="Q1" s="90"/>
      <c r="R1" s="90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46000 - 46030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102" t="s">
        <v>147</v>
      </c>
      <c r="B5" s="102"/>
      <c r="C5" s="102"/>
      <c r="E5" s="105" t="s">
        <v>149</v>
      </c>
      <c r="F5" s="105"/>
      <c r="G5" s="105"/>
      <c r="I5" s="96" t="s">
        <v>151</v>
      </c>
      <c r="J5" s="96"/>
      <c r="K5" s="96"/>
      <c r="M5" s="99" t="s">
        <v>153</v>
      </c>
      <c r="N5" s="99"/>
      <c r="O5" s="99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103">
        <v>19</v>
      </c>
      <c r="B6" s="103"/>
      <c r="C6" s="103"/>
      <c r="E6" s="106">
        <v>6</v>
      </c>
      <c r="F6" s="106"/>
      <c r="G6" s="106"/>
      <c r="I6" s="97">
        <v>0</v>
      </c>
      <c r="J6" s="97"/>
      <c r="K6" s="97"/>
      <c r="M6" s="100">
        <v>8</v>
      </c>
      <c r="N6" s="100"/>
      <c r="O6" s="100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4" t="s">
        <v>148</v>
      </c>
      <c r="B7" s="104"/>
      <c r="C7" s="104"/>
      <c r="E7" s="107" t="s">
        <v>150</v>
      </c>
      <c r="F7" s="107"/>
      <c r="G7" s="107"/>
      <c r="I7" s="98" t="s">
        <v>152</v>
      </c>
      <c r="J7" s="98"/>
      <c r="K7" s="98"/>
      <c r="M7" s="101" t="s">
        <v>154</v>
      </c>
      <c r="N7" s="101"/>
      <c r="O7" s="101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5">
        <v>0.47368421052631576</v>
      </c>
      <c r="F8" s="95"/>
      <c r="G8" s="95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91" t="s">
        <v>155</v>
      </c>
      <c r="B10" s="91"/>
      <c r="C10" s="91"/>
      <c r="D10" s="91"/>
      <c r="E10" s="91"/>
      <c r="F10" s="91"/>
      <c r="G10" s="91"/>
      <c r="I10" s="91" t="s">
        <v>158</v>
      </c>
      <c r="J10" s="91"/>
      <c r="K10" s="91"/>
      <c r="L10" s="91"/>
      <c r="M10" s="91"/>
      <c r="N10" s="91"/>
      <c r="O10" s="91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92" t="s">
        <v>161</v>
      </c>
      <c r="B27" s="92"/>
      <c r="C27" s="92"/>
      <c r="D27" s="92"/>
      <c r="E27" s="92"/>
      <c r="F27" s="92"/>
      <c r="H27" s="93" t="s">
        <v>163</v>
      </c>
      <c r="I27" s="93"/>
      <c r="J27" s="93"/>
      <c r="K27" s="93"/>
      <c r="L27" s="93"/>
      <c r="M27" s="93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4" t="s">
        <v>164</v>
      </c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4" t="s">
        <v>167</v>
      </c>
      <c r="B47" s="94"/>
      <c r="C47" s="94"/>
      <c r="D47" s="94"/>
      <c r="E47" s="94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6.2469756822464619</v>
      </c>
      <c r="C49" s="58">
        <f t="shared" ref="C49:C55" ca="1" si="1">B49*0.8</f>
        <v>4.9975805457971703</v>
      </c>
      <c r="D49" s="59">
        <f t="shared" ref="D49:D55" ca="1" si="2">RAND()*5+2</f>
        <v>2.3411006026702927</v>
      </c>
      <c r="E49" s="57">
        <f t="shared" ref="E49:E55" ca="1" si="3">C49/B49</f>
        <v>0.80000000000000016</v>
      </c>
    </row>
    <row r="50" spans="1:5" ht="15" customHeight="1" x14ac:dyDescent="0.25">
      <c r="A50" s="41" t="s">
        <v>174</v>
      </c>
      <c r="B50" s="58">
        <f t="shared" ca="1" si="0"/>
        <v>13.426485787916125</v>
      </c>
      <c r="C50" s="58">
        <f t="shared" ca="1" si="1"/>
        <v>10.7411886303329</v>
      </c>
      <c r="D50" s="59">
        <f t="shared" ca="1" si="2"/>
        <v>4.3410793285878535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14.893358963270824</v>
      </c>
      <c r="C51" s="58">
        <f t="shared" ca="1" si="1"/>
        <v>11.914687170616659</v>
      </c>
      <c r="D51" s="59">
        <f t="shared" ca="1" si="2"/>
        <v>6.5777699938812306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10.808860737689825</v>
      </c>
      <c r="C52" s="58">
        <f t="shared" ca="1" si="1"/>
        <v>8.6470885901518599</v>
      </c>
      <c r="D52" s="59">
        <f t="shared" ca="1" si="2"/>
        <v>2.0345948091231603</v>
      </c>
      <c r="E52" s="57">
        <f t="shared" ca="1" si="3"/>
        <v>0.8</v>
      </c>
    </row>
    <row r="53" spans="1:5" ht="15" customHeight="1" x14ac:dyDescent="0.25">
      <c r="A53" s="41" t="s">
        <v>177</v>
      </c>
      <c r="B53" s="58">
        <f t="shared" ca="1" si="0"/>
        <v>13.393580268181603</v>
      </c>
      <c r="C53" s="58">
        <f t="shared" ca="1" si="1"/>
        <v>10.714864214545283</v>
      </c>
      <c r="D53" s="59">
        <f t="shared" ca="1" si="2"/>
        <v>3.7974997284834831</v>
      </c>
      <c r="E53" s="57">
        <f t="shared" ca="1" si="3"/>
        <v>0.8</v>
      </c>
    </row>
    <row r="54" spans="1:5" ht="15" customHeight="1" x14ac:dyDescent="0.25">
      <c r="A54" s="41" t="s">
        <v>178</v>
      </c>
      <c r="B54" s="58">
        <f t="shared" ca="1" si="0"/>
        <v>6.5551660140088082</v>
      </c>
      <c r="C54" s="58">
        <f t="shared" ca="1" si="1"/>
        <v>5.2441328112070469</v>
      </c>
      <c r="D54" s="59">
        <f t="shared" ca="1" si="2"/>
        <v>3.9757812917129778</v>
      </c>
      <c r="E54" s="57">
        <f t="shared" ca="1" si="3"/>
        <v>0.8</v>
      </c>
    </row>
    <row r="55" spans="1:5" ht="15" customHeight="1" x14ac:dyDescent="0.25">
      <c r="A55" s="41" t="s">
        <v>179</v>
      </c>
      <c r="B55" s="58">
        <f t="shared" ca="1" si="0"/>
        <v>7.8571772676353477</v>
      </c>
      <c r="C55" s="58">
        <f t="shared" ca="1" si="1"/>
        <v>6.2857418141082784</v>
      </c>
      <c r="D55" s="59">
        <f t="shared" ca="1" si="2"/>
        <v>3.4392161344021086</v>
      </c>
      <c r="E55" s="57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tabSelected="1" view="pageBreakPreview" zoomScale="110" zoomScaleNormal="100" zoomScaleSheetLayoutView="110" workbookViewId="0">
      <selection activeCell="H30" sqref="H30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8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 t="s">
        <v>47</v>
      </c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8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8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86" t="s">
        <v>57</v>
      </c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8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 t="s">
        <v>47</v>
      </c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8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8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 t="s">
        <v>47</v>
      </c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8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8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86" t="s">
        <v>57</v>
      </c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8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8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 t="s">
        <v>47</v>
      </c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8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86" t="s">
        <v>57</v>
      </c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8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 t="s">
        <v>47</v>
      </c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8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8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 t="s">
        <v>47</v>
      </c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8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87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87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87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87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87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87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87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9" t="s">
        <v>57</v>
      </c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9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9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78"/>
      <c r="I26" s="78" t="s">
        <v>225</v>
      </c>
      <c r="J26" s="78"/>
      <c r="K26" s="6" t="s">
        <v>35</v>
      </c>
      <c r="L26" s="3"/>
      <c r="M26" s="77"/>
      <c r="N26" s="77"/>
      <c r="O26" s="80"/>
      <c r="P26" s="77"/>
      <c r="Q26" s="81"/>
      <c r="R26" s="81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78"/>
      <c r="I27" s="78" t="s">
        <v>227</v>
      </c>
      <c r="J27" s="78"/>
      <c r="K27" s="6" t="s">
        <v>36</v>
      </c>
      <c r="L27" s="3"/>
      <c r="M27" s="77"/>
      <c r="N27" s="77"/>
      <c r="O27" s="80"/>
      <c r="P27" s="77"/>
      <c r="Q27" s="81"/>
      <c r="R27" s="81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47070000</v>
      </c>
      <c r="G28" s="78"/>
      <c r="H28" s="78"/>
      <c r="I28" s="78">
        <v>16544</v>
      </c>
      <c r="J28" s="78"/>
      <c r="K28" s="6" t="s">
        <v>37</v>
      </c>
      <c r="L28" s="3"/>
      <c r="M28" s="77"/>
      <c r="N28" s="77"/>
      <c r="O28" s="80"/>
      <c r="P28" s="77"/>
      <c r="Q28" s="81"/>
      <c r="R28" s="81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78"/>
      <c r="I29" s="78">
        <v>65384</v>
      </c>
      <c r="J29" s="78"/>
      <c r="K29" s="6" t="s">
        <v>38</v>
      </c>
      <c r="L29" s="3"/>
      <c r="M29" s="77"/>
      <c r="N29" s="77"/>
      <c r="O29" s="80"/>
      <c r="P29" s="77"/>
      <c r="Q29" s="81"/>
      <c r="R29" s="81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9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9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78"/>
      <c r="I32" s="78">
        <v>65384</v>
      </c>
      <c r="J32" s="78"/>
      <c r="K32" s="6" t="s">
        <v>35</v>
      </c>
      <c r="L32" s="3"/>
      <c r="M32" s="77"/>
      <c r="N32" s="77"/>
      <c r="O32" s="80"/>
      <c r="P32" s="77"/>
      <c r="Q32" s="81"/>
      <c r="R32" s="81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9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9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78"/>
      <c r="I35" s="78">
        <v>48670</v>
      </c>
      <c r="J35" s="78"/>
      <c r="K35" s="6" t="s">
        <v>38</v>
      </c>
      <c r="L35" s="3"/>
      <c r="M35" s="77"/>
      <c r="N35" s="77"/>
      <c r="O35" s="80"/>
      <c r="P35" s="77"/>
      <c r="Q35" s="81"/>
      <c r="R35" s="81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9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78"/>
      <c r="I37" s="78">
        <v>16544</v>
      </c>
      <c r="J37" s="78"/>
      <c r="K37" s="6" t="s">
        <v>38</v>
      </c>
      <c r="L37" s="3"/>
      <c r="M37" s="77"/>
      <c r="N37" s="77"/>
      <c r="O37" s="80"/>
      <c r="P37" s="77"/>
      <c r="Q37" s="81"/>
      <c r="R37" s="81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9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78"/>
      <c r="I39" s="78">
        <v>48670</v>
      </c>
      <c r="J39" s="78"/>
      <c r="K39" s="6" t="s">
        <v>25</v>
      </c>
      <c r="L39" s="3"/>
      <c r="M39" s="77"/>
      <c r="N39" s="77"/>
      <c r="O39" s="80"/>
      <c r="P39" s="77"/>
      <c r="Q39" s="81"/>
      <c r="R39" s="81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78"/>
      <c r="I40" s="78" t="s">
        <v>229</v>
      </c>
      <c r="J40" s="78"/>
      <c r="K40" s="6" t="s">
        <v>21</v>
      </c>
      <c r="L40" s="3"/>
      <c r="M40" s="77"/>
      <c r="N40" s="77"/>
      <c r="O40" s="80"/>
      <c r="P40" s="77"/>
      <c r="Q40" s="81"/>
      <c r="R40" s="81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78"/>
      <c r="I41" s="78" t="s">
        <v>230</v>
      </c>
      <c r="J41" s="78"/>
      <c r="K41" s="6" t="s">
        <v>22</v>
      </c>
      <c r="L41" s="3"/>
      <c r="M41" s="77"/>
      <c r="N41" s="77"/>
      <c r="O41" s="80"/>
      <c r="P41" s="77"/>
      <c r="Q41" s="81"/>
      <c r="R41" s="81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E11"/>
  <sheetViews>
    <sheetView workbookViewId="0">
      <selection activeCell="C4" sqref="C4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</cols>
  <sheetData>
    <row r="1" spans="1:5" ht="17.25" x14ac:dyDescent="0.3">
      <c r="A1" s="4" t="s">
        <v>15</v>
      </c>
      <c r="C1" s="4" t="s">
        <v>16</v>
      </c>
      <c r="E1" s="4" t="s">
        <v>17</v>
      </c>
    </row>
    <row r="2" spans="1:5" x14ac:dyDescent="0.25">
      <c r="A2" t="s">
        <v>18</v>
      </c>
      <c r="C2" t="s">
        <v>20</v>
      </c>
      <c r="E2" t="s">
        <v>21</v>
      </c>
    </row>
    <row r="3" spans="1:5" x14ac:dyDescent="0.25">
      <c r="A3" t="s">
        <v>19</v>
      </c>
      <c r="C3" t="s">
        <v>50</v>
      </c>
      <c r="E3" t="s">
        <v>22</v>
      </c>
    </row>
    <row r="4" spans="1:5" x14ac:dyDescent="0.25">
      <c r="A4" t="s">
        <v>31</v>
      </c>
      <c r="C4" t="s">
        <v>40</v>
      </c>
    </row>
    <row r="5" spans="1:5" x14ac:dyDescent="0.25">
      <c r="A5" t="s">
        <v>41</v>
      </c>
    </row>
    <row r="6" spans="1:5" x14ac:dyDescent="0.25">
      <c r="A6" t="s">
        <v>30</v>
      </c>
    </row>
    <row r="7" spans="1:5" x14ac:dyDescent="0.25">
      <c r="A7" t="s">
        <v>23</v>
      </c>
    </row>
    <row r="8" spans="1:5" x14ac:dyDescent="0.25">
      <c r="A8" t="s">
        <v>42</v>
      </c>
    </row>
    <row r="9" spans="1:5" x14ac:dyDescent="0.25">
      <c r="A9" t="s">
        <v>43</v>
      </c>
    </row>
    <row r="10" spans="1:5" x14ac:dyDescent="0.25">
      <c r="A10" t="s">
        <v>44</v>
      </c>
    </row>
    <row r="11" spans="1:5" x14ac:dyDescent="0.25">
      <c r="A11" t="s">
        <v>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33</v>
      </c>
    </row>
    <row r="2" spans="1:2" x14ac:dyDescent="0.25">
      <c r="A2" t="s">
        <v>27</v>
      </c>
      <c r="B2">
        <v>63.75</v>
      </c>
    </row>
    <row r="3" spans="1:2" x14ac:dyDescent="0.25">
      <c r="A3" t="s">
        <v>28</v>
      </c>
      <c r="B3">
        <v>531</v>
      </c>
    </row>
    <row r="4" spans="1:2" x14ac:dyDescent="0.25">
      <c r="A4" t="s">
        <v>29</v>
      </c>
      <c r="B4" s="5">
        <v>46030.0784375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5">
        <v>45905.03979166667</v>
      </c>
      <c r="B2" t="s">
        <v>243</v>
      </c>
      <c r="C2" t="s">
        <v>244</v>
      </c>
      <c r="D2" t="s">
        <v>231</v>
      </c>
      <c r="E2">
        <v>0</v>
      </c>
      <c r="F2" t="s">
        <v>232</v>
      </c>
    </row>
    <row r="3" spans="1:6" x14ac:dyDescent="0.25">
      <c r="A3" s="84">
        <v>45905.03979166667</v>
      </c>
      <c r="B3" s="85" t="s">
        <v>243</v>
      </c>
      <c r="C3" s="85" t="s">
        <v>247</v>
      </c>
      <c r="D3" s="85" t="s">
        <v>236</v>
      </c>
      <c r="E3" s="85">
        <v>0</v>
      </c>
      <c r="F3" s="85" t="s">
        <v>232</v>
      </c>
    </row>
    <row r="4" spans="1:6" x14ac:dyDescent="0.25">
      <c r="A4" s="84">
        <v>45905.04005787037</v>
      </c>
      <c r="B4" s="85" t="s">
        <v>245</v>
      </c>
      <c r="C4" s="85" t="s">
        <v>248</v>
      </c>
      <c r="D4" s="85" t="s">
        <v>236</v>
      </c>
      <c r="E4" s="85">
        <v>22.74</v>
      </c>
      <c r="F4" s="85" t="s">
        <v>232</v>
      </c>
    </row>
    <row r="5" spans="1:6" x14ac:dyDescent="0.25">
      <c r="A5" s="82">
        <v>45905.040902777779</v>
      </c>
      <c r="B5" s="83" t="s">
        <v>245</v>
      </c>
      <c r="C5" s="83" t="s">
        <v>246</v>
      </c>
      <c r="D5" s="83" t="s">
        <v>233</v>
      </c>
      <c r="E5" s="83">
        <v>3534.5</v>
      </c>
      <c r="F5" s="83" t="s">
        <v>232</v>
      </c>
    </row>
    <row r="6" spans="1:6" x14ac:dyDescent="0.25">
      <c r="A6" s="5">
        <v>45905.040902777779</v>
      </c>
      <c r="B6" t="s">
        <v>243</v>
      </c>
      <c r="C6" t="s">
        <v>244</v>
      </c>
      <c r="D6" t="s">
        <v>231</v>
      </c>
      <c r="E6">
        <v>0</v>
      </c>
      <c r="F6" t="s">
        <v>232</v>
      </c>
    </row>
    <row r="7" spans="1:6" x14ac:dyDescent="0.25">
      <c r="A7" s="84">
        <v>45905.040902777779</v>
      </c>
      <c r="B7" s="85" t="s">
        <v>243</v>
      </c>
      <c r="C7" s="85" t="s">
        <v>249</v>
      </c>
      <c r="D7" s="85" t="s">
        <v>236</v>
      </c>
      <c r="E7" s="85">
        <v>0</v>
      </c>
      <c r="F7" s="85" t="s">
        <v>232</v>
      </c>
    </row>
    <row r="8" spans="1:6" x14ac:dyDescent="0.25">
      <c r="A8" s="84">
        <v>45905.041076388887</v>
      </c>
      <c r="B8" s="85" t="s">
        <v>245</v>
      </c>
      <c r="C8" s="85" t="s">
        <v>248</v>
      </c>
      <c r="D8" s="85" t="s">
        <v>236</v>
      </c>
      <c r="E8" s="85">
        <v>15.24</v>
      </c>
      <c r="F8" s="85" t="s">
        <v>232</v>
      </c>
    </row>
    <row r="9" spans="1:6" x14ac:dyDescent="0.25">
      <c r="A9" s="82">
        <v>45905.063321759262</v>
      </c>
      <c r="B9" s="83" t="s">
        <v>245</v>
      </c>
      <c r="C9" s="83" t="s">
        <v>246</v>
      </c>
      <c r="D9" s="83" t="s">
        <v>233</v>
      </c>
      <c r="E9" s="83">
        <v>5471.81</v>
      </c>
      <c r="F9" s="83" t="s">
        <v>232</v>
      </c>
    </row>
    <row r="10" spans="1:6" x14ac:dyDescent="0.25">
      <c r="A10" s="5">
        <v>45905.063321759262</v>
      </c>
      <c r="B10" t="s">
        <v>243</v>
      </c>
      <c r="C10" t="s">
        <v>244</v>
      </c>
      <c r="D10" t="s">
        <v>231</v>
      </c>
      <c r="E10">
        <v>0</v>
      </c>
      <c r="F10" t="s">
        <v>232</v>
      </c>
    </row>
    <row r="11" spans="1:6" x14ac:dyDescent="0.25">
      <c r="A11" s="84">
        <v>45905.063321759262</v>
      </c>
      <c r="B11" s="85" t="s">
        <v>243</v>
      </c>
      <c r="C11" s="85" t="s">
        <v>250</v>
      </c>
      <c r="D11" s="85" t="s">
        <v>236</v>
      </c>
      <c r="E11" s="85">
        <v>0</v>
      </c>
      <c r="F11" s="85" t="s">
        <v>232</v>
      </c>
    </row>
    <row r="12" spans="1:6" x14ac:dyDescent="0.25">
      <c r="A12" s="84">
        <v>45905.06349537037</v>
      </c>
      <c r="B12" s="85" t="s">
        <v>245</v>
      </c>
      <c r="C12" s="85" t="s">
        <v>248</v>
      </c>
      <c r="D12" s="85" t="s">
        <v>236</v>
      </c>
      <c r="E12" s="85">
        <v>14.37</v>
      </c>
      <c r="F12" s="85" t="s">
        <v>232</v>
      </c>
    </row>
    <row r="13" spans="1:6" x14ac:dyDescent="0.25">
      <c r="A13" s="82">
        <v>45905.064583333333</v>
      </c>
      <c r="B13" s="83" t="s">
        <v>245</v>
      </c>
      <c r="C13" s="83" t="s">
        <v>246</v>
      </c>
      <c r="D13" s="83" t="s">
        <v>233</v>
      </c>
      <c r="E13" s="83">
        <v>5580.33</v>
      </c>
      <c r="F13" s="83" t="s">
        <v>232</v>
      </c>
    </row>
    <row r="14" spans="1:6" x14ac:dyDescent="0.25">
      <c r="A14" s="5">
        <v>45905.064583333333</v>
      </c>
      <c r="B14" t="s">
        <v>243</v>
      </c>
      <c r="C14" t="s">
        <v>244</v>
      </c>
      <c r="D14" t="s">
        <v>231</v>
      </c>
      <c r="E14">
        <v>0</v>
      </c>
      <c r="F14" t="s">
        <v>232</v>
      </c>
    </row>
    <row r="15" spans="1:6" x14ac:dyDescent="0.25">
      <c r="A15" s="84">
        <v>45905.064583333333</v>
      </c>
      <c r="B15" s="85" t="s">
        <v>243</v>
      </c>
      <c r="C15" s="85" t="s">
        <v>251</v>
      </c>
      <c r="D15" s="85" t="s">
        <v>236</v>
      </c>
      <c r="E15" s="85">
        <v>0</v>
      </c>
      <c r="F15" s="85" t="s">
        <v>232</v>
      </c>
    </row>
    <row r="16" spans="1:6" x14ac:dyDescent="0.25">
      <c r="A16" s="84">
        <v>45905.064756944441</v>
      </c>
      <c r="B16" s="85" t="s">
        <v>245</v>
      </c>
      <c r="C16" s="85" t="s">
        <v>248</v>
      </c>
      <c r="D16" s="85" t="s">
        <v>236</v>
      </c>
      <c r="E16" s="85">
        <v>15</v>
      </c>
      <c r="F16" s="85" t="s">
        <v>232</v>
      </c>
    </row>
    <row r="17" spans="1:6" x14ac:dyDescent="0.25">
      <c r="A17" s="82">
        <v>45905.066886574074</v>
      </c>
      <c r="B17" s="83" t="s">
        <v>245</v>
      </c>
      <c r="C17" s="83" t="s">
        <v>246</v>
      </c>
      <c r="D17" s="83" t="s">
        <v>233</v>
      </c>
      <c r="E17" s="83">
        <v>5779.08</v>
      </c>
      <c r="F17" s="83" t="s">
        <v>232</v>
      </c>
    </row>
    <row r="18" spans="1:6" x14ac:dyDescent="0.25">
      <c r="A18" s="5">
        <v>45905.066886574074</v>
      </c>
      <c r="B18" t="s">
        <v>243</v>
      </c>
      <c r="C18" t="s">
        <v>244</v>
      </c>
      <c r="D18" t="s">
        <v>231</v>
      </c>
      <c r="E18">
        <v>0</v>
      </c>
      <c r="F18" t="s">
        <v>232</v>
      </c>
    </row>
    <row r="19" spans="1:6" x14ac:dyDescent="0.25">
      <c r="A19" s="84">
        <v>45905.066886574074</v>
      </c>
      <c r="B19" s="85" t="s">
        <v>243</v>
      </c>
      <c r="C19" s="85" t="s">
        <v>252</v>
      </c>
      <c r="D19" s="85" t="s">
        <v>236</v>
      </c>
      <c r="E19" s="85">
        <v>0</v>
      </c>
      <c r="F19" s="85" t="s">
        <v>232</v>
      </c>
    </row>
    <row r="20" spans="1:6" x14ac:dyDescent="0.25">
      <c r="A20" s="84">
        <v>45905.067175925928</v>
      </c>
      <c r="B20" s="85" t="s">
        <v>245</v>
      </c>
      <c r="C20" s="85" t="s">
        <v>248</v>
      </c>
      <c r="D20" s="85" t="s">
        <v>236</v>
      </c>
      <c r="E20" s="85">
        <v>25.19</v>
      </c>
      <c r="F20" s="85" t="s">
        <v>232</v>
      </c>
    </row>
    <row r="21" spans="1:6" x14ac:dyDescent="0.25">
      <c r="A21" s="5">
        <v>45905.069016203706</v>
      </c>
      <c r="B21" t="s">
        <v>240</v>
      </c>
      <c r="C21" t="s">
        <v>241</v>
      </c>
      <c r="D21" t="s">
        <v>231</v>
      </c>
      <c r="E21">
        <v>0</v>
      </c>
      <c r="F21" t="s">
        <v>232</v>
      </c>
    </row>
    <row r="22" spans="1:6" x14ac:dyDescent="0.25">
      <c r="A22" s="84">
        <v>45907.124421296299</v>
      </c>
      <c r="B22" s="85" t="s">
        <v>234</v>
      </c>
      <c r="C22" s="85" t="s">
        <v>235</v>
      </c>
      <c r="D22" s="85" t="s">
        <v>236</v>
      </c>
      <c r="E22" s="85">
        <v>0</v>
      </c>
      <c r="F22" s="85" t="s">
        <v>232</v>
      </c>
    </row>
    <row r="23" spans="1:6" x14ac:dyDescent="0.25">
      <c r="A23" s="84">
        <v>45907.756620370368</v>
      </c>
      <c r="B23" s="85" t="s">
        <v>234</v>
      </c>
      <c r="C23" s="85" t="s">
        <v>235</v>
      </c>
      <c r="D23" s="85" t="s">
        <v>236</v>
      </c>
      <c r="E23" s="85">
        <v>0</v>
      </c>
      <c r="F23" s="85" t="s">
        <v>232</v>
      </c>
    </row>
    <row r="24" spans="1:6" x14ac:dyDescent="0.25">
      <c r="A24" s="82">
        <v>45907.762870370374</v>
      </c>
      <c r="B24" s="83" t="s">
        <v>245</v>
      </c>
      <c r="C24" s="83" t="s">
        <v>246</v>
      </c>
      <c r="D24" s="83" t="s">
        <v>233</v>
      </c>
      <c r="E24" s="83">
        <v>65912.09</v>
      </c>
      <c r="F24" s="83" t="s">
        <v>232</v>
      </c>
    </row>
    <row r="25" spans="1:6" x14ac:dyDescent="0.25">
      <c r="A25" s="5">
        <v>45907.762870370374</v>
      </c>
      <c r="B25" t="s">
        <v>243</v>
      </c>
      <c r="C25" t="s">
        <v>244</v>
      </c>
      <c r="D25" t="s">
        <v>231</v>
      </c>
      <c r="E25">
        <v>0</v>
      </c>
      <c r="F25" t="s">
        <v>232</v>
      </c>
    </row>
    <row r="26" spans="1:6" x14ac:dyDescent="0.25">
      <c r="A26" s="84">
        <v>45907.762870370374</v>
      </c>
      <c r="B26" s="85" t="s">
        <v>243</v>
      </c>
      <c r="C26" s="85" t="s">
        <v>253</v>
      </c>
      <c r="D26" s="85" t="s">
        <v>236</v>
      </c>
      <c r="E26" s="85">
        <v>0</v>
      </c>
      <c r="F26" s="85" t="s">
        <v>232</v>
      </c>
    </row>
    <row r="27" spans="1:6" x14ac:dyDescent="0.25">
      <c r="A27" s="84">
        <v>45907.763472222221</v>
      </c>
      <c r="B27" s="85" t="s">
        <v>245</v>
      </c>
      <c r="C27" s="85" t="s">
        <v>248</v>
      </c>
      <c r="D27" s="85" t="s">
        <v>236</v>
      </c>
      <c r="E27" s="85">
        <v>52.52</v>
      </c>
      <c r="F27" s="85" t="s">
        <v>232</v>
      </c>
    </row>
    <row r="28" spans="1:6" x14ac:dyDescent="0.25">
      <c r="A28" s="82">
        <v>45907.844733796293</v>
      </c>
      <c r="B28" s="83" t="s">
        <v>245</v>
      </c>
      <c r="C28" s="83" t="s">
        <v>246</v>
      </c>
      <c r="D28" s="83" t="s">
        <v>233</v>
      </c>
      <c r="E28" s="83">
        <v>72985.33</v>
      </c>
      <c r="F28" s="83" t="s">
        <v>232</v>
      </c>
    </row>
    <row r="29" spans="1:6" x14ac:dyDescent="0.25">
      <c r="A29" s="5">
        <v>45907.844733796293</v>
      </c>
      <c r="B29" t="s">
        <v>243</v>
      </c>
      <c r="C29" t="s">
        <v>244</v>
      </c>
      <c r="D29" t="s">
        <v>231</v>
      </c>
      <c r="E29">
        <v>0</v>
      </c>
      <c r="F29" t="s">
        <v>232</v>
      </c>
    </row>
    <row r="30" spans="1:6" x14ac:dyDescent="0.25">
      <c r="A30" s="84">
        <v>45907.844733796293</v>
      </c>
      <c r="B30" s="85" t="s">
        <v>243</v>
      </c>
      <c r="C30" s="85" t="s">
        <v>254</v>
      </c>
      <c r="D30" s="85" t="s">
        <v>236</v>
      </c>
      <c r="E30" s="85">
        <v>0</v>
      </c>
      <c r="F30" s="85" t="s">
        <v>232</v>
      </c>
    </row>
    <row r="31" spans="1:6" x14ac:dyDescent="0.25">
      <c r="A31" s="84">
        <v>45907.845069444447</v>
      </c>
      <c r="B31" s="85" t="s">
        <v>245</v>
      </c>
      <c r="C31" s="85" t="s">
        <v>248</v>
      </c>
      <c r="D31" s="85" t="s">
        <v>236</v>
      </c>
      <c r="E31" s="85">
        <v>28.73</v>
      </c>
      <c r="F31" s="85" t="s">
        <v>232</v>
      </c>
    </row>
    <row r="32" spans="1:6" x14ac:dyDescent="0.25">
      <c r="A32" s="82">
        <v>45907.847303240742</v>
      </c>
      <c r="B32" s="83" t="s">
        <v>245</v>
      </c>
      <c r="C32" s="83" t="s">
        <v>246</v>
      </c>
      <c r="D32" s="83" t="s">
        <v>233</v>
      </c>
      <c r="E32" s="83">
        <v>73207.839999999997</v>
      </c>
      <c r="F32" s="83" t="s">
        <v>232</v>
      </c>
    </row>
    <row r="33" spans="1:6" x14ac:dyDescent="0.25">
      <c r="A33" s="5">
        <v>45907.847303240742</v>
      </c>
      <c r="B33" t="s">
        <v>243</v>
      </c>
      <c r="C33" t="s">
        <v>244</v>
      </c>
      <c r="D33" t="s">
        <v>231</v>
      </c>
      <c r="E33">
        <v>0</v>
      </c>
      <c r="F33" t="s">
        <v>232</v>
      </c>
    </row>
    <row r="34" spans="1:6" x14ac:dyDescent="0.25">
      <c r="A34" s="84">
        <v>45907.847303240742</v>
      </c>
      <c r="B34" s="85" t="s">
        <v>243</v>
      </c>
      <c r="C34" s="85" t="s">
        <v>255</v>
      </c>
      <c r="D34" s="85" t="s">
        <v>236</v>
      </c>
      <c r="E34" s="85">
        <v>0</v>
      </c>
      <c r="F34" s="85" t="s">
        <v>232</v>
      </c>
    </row>
    <row r="35" spans="1:6" x14ac:dyDescent="0.25">
      <c r="A35" s="84">
        <v>45907.847627314812</v>
      </c>
      <c r="B35" s="85" t="s">
        <v>245</v>
      </c>
      <c r="C35" s="85" t="s">
        <v>248</v>
      </c>
      <c r="D35" s="85" t="s">
        <v>236</v>
      </c>
      <c r="E35" s="85">
        <v>27.91</v>
      </c>
      <c r="F35" s="85" t="s">
        <v>232</v>
      </c>
    </row>
    <row r="36" spans="1:6" x14ac:dyDescent="0.25">
      <c r="A36" s="82">
        <v>45907.852025462962</v>
      </c>
      <c r="B36" s="83" t="s">
        <v>245</v>
      </c>
      <c r="C36" s="83" t="s">
        <v>246</v>
      </c>
      <c r="D36" s="83" t="s">
        <v>233</v>
      </c>
      <c r="E36" s="83">
        <v>73615.22</v>
      </c>
      <c r="F36" s="83" t="s">
        <v>232</v>
      </c>
    </row>
    <row r="37" spans="1:6" x14ac:dyDescent="0.25">
      <c r="A37" s="5">
        <v>45907.852025462962</v>
      </c>
      <c r="B37" t="s">
        <v>243</v>
      </c>
      <c r="C37" t="s">
        <v>244</v>
      </c>
      <c r="D37" t="s">
        <v>231</v>
      </c>
      <c r="E37">
        <v>0</v>
      </c>
      <c r="F37" t="s">
        <v>232</v>
      </c>
    </row>
    <row r="38" spans="1:6" x14ac:dyDescent="0.25">
      <c r="A38" s="84">
        <v>45907.852025462962</v>
      </c>
      <c r="B38" s="85" t="s">
        <v>243</v>
      </c>
      <c r="C38" s="85" t="s">
        <v>256</v>
      </c>
      <c r="D38" s="85" t="s">
        <v>236</v>
      </c>
      <c r="E38" s="85">
        <v>0</v>
      </c>
      <c r="F38" s="85" t="s">
        <v>232</v>
      </c>
    </row>
    <row r="39" spans="1:6" x14ac:dyDescent="0.25">
      <c r="A39" s="84">
        <v>45907.852465277778</v>
      </c>
      <c r="B39" s="85" t="s">
        <v>245</v>
      </c>
      <c r="C39" s="85" t="s">
        <v>248</v>
      </c>
      <c r="D39" s="85" t="s">
        <v>236</v>
      </c>
      <c r="E39" s="85">
        <v>38.47</v>
      </c>
      <c r="F39" s="85" t="s">
        <v>232</v>
      </c>
    </row>
    <row r="40" spans="1:6" x14ac:dyDescent="0.25">
      <c r="A40" s="82">
        <v>45907.856539351851</v>
      </c>
      <c r="B40" s="83" t="s">
        <v>245</v>
      </c>
      <c r="C40" s="83" t="s">
        <v>246</v>
      </c>
      <c r="D40" s="83" t="s">
        <v>233</v>
      </c>
      <c r="E40" s="83">
        <v>74005.59</v>
      </c>
      <c r="F40" s="83" t="s">
        <v>232</v>
      </c>
    </row>
    <row r="41" spans="1:6" x14ac:dyDescent="0.25">
      <c r="A41" s="5">
        <v>45907.856539351851</v>
      </c>
      <c r="B41" t="s">
        <v>243</v>
      </c>
      <c r="C41" t="s">
        <v>244</v>
      </c>
      <c r="D41" t="s">
        <v>231</v>
      </c>
      <c r="E41">
        <v>0</v>
      </c>
      <c r="F41" t="s">
        <v>232</v>
      </c>
    </row>
    <row r="42" spans="1:6" x14ac:dyDescent="0.25">
      <c r="A42" s="84">
        <v>45907.856539351851</v>
      </c>
      <c r="B42" s="85" t="s">
        <v>243</v>
      </c>
      <c r="C42" s="85" t="s">
        <v>257</v>
      </c>
      <c r="D42" s="85" t="s">
        <v>236</v>
      </c>
      <c r="E42" s="85">
        <v>0</v>
      </c>
      <c r="F42" s="85" t="s">
        <v>232</v>
      </c>
    </row>
    <row r="43" spans="1:6" x14ac:dyDescent="0.25">
      <c r="A43" s="84">
        <v>45907.857048611113</v>
      </c>
      <c r="B43" s="85" t="s">
        <v>245</v>
      </c>
      <c r="C43" s="85" t="s">
        <v>248</v>
      </c>
      <c r="D43" s="85" t="s">
        <v>236</v>
      </c>
      <c r="E43" s="85">
        <v>43.99</v>
      </c>
      <c r="F43" s="85" t="s">
        <v>232</v>
      </c>
    </row>
    <row r="44" spans="1:6" x14ac:dyDescent="0.25">
      <c r="A44" s="82">
        <v>45907.861481481479</v>
      </c>
      <c r="B44" s="83" t="s">
        <v>245</v>
      </c>
      <c r="C44" s="83" t="s">
        <v>246</v>
      </c>
      <c r="D44" s="83" t="s">
        <v>233</v>
      </c>
      <c r="E44" s="83">
        <v>74432.2</v>
      </c>
      <c r="F44" s="83" t="s">
        <v>232</v>
      </c>
    </row>
    <row r="45" spans="1:6" x14ac:dyDescent="0.25">
      <c r="A45" s="5">
        <v>45907.861481481479</v>
      </c>
      <c r="B45" t="s">
        <v>243</v>
      </c>
      <c r="C45" t="s">
        <v>244</v>
      </c>
      <c r="D45" t="s">
        <v>231</v>
      </c>
      <c r="E45">
        <v>0</v>
      </c>
      <c r="F45" t="s">
        <v>232</v>
      </c>
    </row>
    <row r="46" spans="1:6" x14ac:dyDescent="0.25">
      <c r="A46" s="84">
        <v>45907.861481481479</v>
      </c>
      <c r="B46" s="85" t="s">
        <v>243</v>
      </c>
      <c r="C46" s="85" t="s">
        <v>258</v>
      </c>
      <c r="D46" s="85" t="s">
        <v>236</v>
      </c>
      <c r="E46" s="85">
        <v>0</v>
      </c>
      <c r="F46" s="85" t="s">
        <v>232</v>
      </c>
    </row>
    <row r="47" spans="1:6" x14ac:dyDescent="0.25">
      <c r="A47" s="84">
        <v>45907.861793981479</v>
      </c>
      <c r="B47" s="85" t="s">
        <v>245</v>
      </c>
      <c r="C47" s="85" t="s">
        <v>248</v>
      </c>
      <c r="D47" s="85" t="s">
        <v>236</v>
      </c>
      <c r="E47" s="85">
        <v>26.98</v>
      </c>
      <c r="F47" s="85" t="s">
        <v>232</v>
      </c>
    </row>
    <row r="48" spans="1:6" x14ac:dyDescent="0.25">
      <c r="A48" s="82">
        <v>45907.871168981481</v>
      </c>
      <c r="B48" s="83" t="s">
        <v>245</v>
      </c>
      <c r="C48" s="83" t="s">
        <v>246</v>
      </c>
      <c r="D48" s="83" t="s">
        <v>233</v>
      </c>
      <c r="E48" s="83">
        <v>75269.320000000007</v>
      </c>
      <c r="F48" s="83" t="s">
        <v>232</v>
      </c>
    </row>
    <row r="49" spans="1:6" x14ac:dyDescent="0.25">
      <c r="A49" s="5">
        <v>45907.871168981481</v>
      </c>
      <c r="B49" t="s">
        <v>243</v>
      </c>
      <c r="C49" t="s">
        <v>244</v>
      </c>
      <c r="D49" t="s">
        <v>231</v>
      </c>
      <c r="E49">
        <v>0</v>
      </c>
      <c r="F49" t="s">
        <v>232</v>
      </c>
    </row>
    <row r="50" spans="1:6" x14ac:dyDescent="0.25">
      <c r="A50" s="84">
        <v>45907.871168981481</v>
      </c>
      <c r="B50" s="85" t="s">
        <v>243</v>
      </c>
      <c r="C50" s="85" t="s">
        <v>259</v>
      </c>
      <c r="D50" s="85" t="s">
        <v>236</v>
      </c>
      <c r="E50" s="85">
        <v>0</v>
      </c>
      <c r="F50" s="85" t="s">
        <v>232</v>
      </c>
    </row>
    <row r="51" spans="1:6" x14ac:dyDescent="0.25">
      <c r="A51" s="84">
        <v>45907.871388888889</v>
      </c>
      <c r="B51" s="85" t="s">
        <v>245</v>
      </c>
      <c r="C51" s="85" t="s">
        <v>248</v>
      </c>
      <c r="D51" s="85" t="s">
        <v>236</v>
      </c>
      <c r="E51" s="85">
        <v>18.73</v>
      </c>
      <c r="F51" s="85" t="s">
        <v>232</v>
      </c>
    </row>
    <row r="52" spans="1:6" x14ac:dyDescent="0.25">
      <c r="A52" s="82">
        <v>45907.871840277781</v>
      </c>
      <c r="B52" s="83" t="s">
        <v>245</v>
      </c>
      <c r="C52" s="83" t="s">
        <v>246</v>
      </c>
      <c r="D52" s="83" t="s">
        <v>233</v>
      </c>
      <c r="E52" s="83">
        <v>75327.44</v>
      </c>
      <c r="F52" s="83" t="s">
        <v>232</v>
      </c>
    </row>
    <row r="53" spans="1:6" x14ac:dyDescent="0.25">
      <c r="A53" s="5">
        <v>45907.871840277781</v>
      </c>
      <c r="B53" t="s">
        <v>243</v>
      </c>
      <c r="C53" t="s">
        <v>244</v>
      </c>
      <c r="D53" t="s">
        <v>231</v>
      </c>
      <c r="E53">
        <v>0</v>
      </c>
      <c r="F53" t="s">
        <v>232</v>
      </c>
    </row>
    <row r="54" spans="1:6" x14ac:dyDescent="0.25">
      <c r="A54" s="84">
        <v>45907.871840277781</v>
      </c>
      <c r="B54" s="85" t="s">
        <v>243</v>
      </c>
      <c r="C54" s="85" t="s">
        <v>260</v>
      </c>
      <c r="D54" s="85" t="s">
        <v>236</v>
      </c>
      <c r="E54" s="85">
        <v>0</v>
      </c>
      <c r="F54" s="85" t="s">
        <v>232</v>
      </c>
    </row>
    <row r="55" spans="1:6" x14ac:dyDescent="0.25">
      <c r="A55" s="84">
        <v>45907.872071759259</v>
      </c>
      <c r="B55" s="85" t="s">
        <v>245</v>
      </c>
      <c r="C55" s="85" t="s">
        <v>248</v>
      </c>
      <c r="D55" s="85" t="s">
        <v>236</v>
      </c>
      <c r="E55" s="85">
        <v>19.77</v>
      </c>
      <c r="F55" s="85" t="s">
        <v>232</v>
      </c>
    </row>
    <row r="56" spans="1:6" x14ac:dyDescent="0.25">
      <c r="A56" s="82">
        <v>45907.950636574074</v>
      </c>
      <c r="B56" s="83" t="s">
        <v>237</v>
      </c>
      <c r="C56" s="83" t="s">
        <v>238</v>
      </c>
      <c r="D56" s="83" t="s">
        <v>233</v>
      </c>
      <c r="E56" s="83">
        <v>82135.83</v>
      </c>
      <c r="F56" s="83" t="s">
        <v>232</v>
      </c>
    </row>
    <row r="57" spans="1:6" x14ac:dyDescent="0.25">
      <c r="A57" s="84">
        <v>45907.951238425929</v>
      </c>
      <c r="B57" s="85" t="s">
        <v>237</v>
      </c>
      <c r="C57" s="85" t="s">
        <v>239</v>
      </c>
      <c r="D57" s="85" t="s">
        <v>236</v>
      </c>
      <c r="E57" s="85">
        <v>51.45</v>
      </c>
      <c r="F57" s="85" t="s">
        <v>232</v>
      </c>
    </row>
    <row r="58" spans="1:6" x14ac:dyDescent="0.25">
      <c r="A58" s="82">
        <v>45907.968101851853</v>
      </c>
      <c r="B58" s="83" t="s">
        <v>245</v>
      </c>
      <c r="C58" s="83" t="s">
        <v>246</v>
      </c>
      <c r="D58" s="83" t="s">
        <v>233</v>
      </c>
      <c r="E58" s="83">
        <v>83644.3</v>
      </c>
      <c r="F58" s="83" t="s">
        <v>232</v>
      </c>
    </row>
    <row r="59" spans="1:6" x14ac:dyDescent="0.25">
      <c r="A59" s="5">
        <v>45907.968101851853</v>
      </c>
      <c r="B59" t="s">
        <v>243</v>
      </c>
      <c r="C59" t="s">
        <v>244</v>
      </c>
      <c r="D59" t="s">
        <v>231</v>
      </c>
      <c r="E59">
        <v>0</v>
      </c>
      <c r="F59" t="s">
        <v>232</v>
      </c>
    </row>
    <row r="60" spans="1:6" x14ac:dyDescent="0.25">
      <c r="A60" s="84">
        <v>45907.968101851853</v>
      </c>
      <c r="B60" s="85" t="s">
        <v>243</v>
      </c>
      <c r="C60" s="85" t="s">
        <v>261</v>
      </c>
      <c r="D60" s="85" t="s">
        <v>236</v>
      </c>
      <c r="E60" s="85">
        <v>0</v>
      </c>
      <c r="F60" s="85" t="s">
        <v>232</v>
      </c>
    </row>
    <row r="61" spans="1:6" x14ac:dyDescent="0.25">
      <c r="A61" s="84">
        <v>45907.968668981484</v>
      </c>
      <c r="B61" s="85" t="s">
        <v>245</v>
      </c>
      <c r="C61" s="85" t="s">
        <v>248</v>
      </c>
      <c r="D61" s="85" t="s">
        <v>236</v>
      </c>
      <c r="E61" s="85">
        <v>48.76</v>
      </c>
      <c r="F61" s="85" t="s">
        <v>232</v>
      </c>
    </row>
    <row r="62" spans="1:6" x14ac:dyDescent="0.25">
      <c r="A62" s="84">
        <v>45908.003379629627</v>
      </c>
      <c r="B62" s="85" t="s">
        <v>234</v>
      </c>
      <c r="C62" s="85" t="s">
        <v>235</v>
      </c>
      <c r="D62" s="85" t="s">
        <v>236</v>
      </c>
      <c r="E62" s="85">
        <v>0</v>
      </c>
      <c r="F62" s="85" t="s">
        <v>232</v>
      </c>
    </row>
    <row r="63" spans="1:6" x14ac:dyDescent="0.25">
      <c r="A63" s="84">
        <v>45908.011516203704</v>
      </c>
      <c r="B63" s="85" t="s">
        <v>234</v>
      </c>
      <c r="C63" s="85" t="s">
        <v>235</v>
      </c>
      <c r="D63" s="85" t="s">
        <v>236</v>
      </c>
      <c r="E63" s="85">
        <v>0</v>
      </c>
      <c r="F63" s="85" t="s">
        <v>232</v>
      </c>
    </row>
    <row r="64" spans="1:6" x14ac:dyDescent="0.25">
      <c r="A64" s="84">
        <v>45908.013703703706</v>
      </c>
      <c r="B64" s="85" t="s">
        <v>234</v>
      </c>
      <c r="C64" s="85" t="s">
        <v>235</v>
      </c>
      <c r="D64" s="85" t="s">
        <v>236</v>
      </c>
      <c r="E64" s="85">
        <v>0</v>
      </c>
      <c r="F64" s="85" t="s">
        <v>232</v>
      </c>
    </row>
    <row r="65" spans="1:6" x14ac:dyDescent="0.25">
      <c r="A65" s="84">
        <v>45914.923877314817</v>
      </c>
      <c r="B65" s="85" t="s">
        <v>234</v>
      </c>
      <c r="C65" s="85" t="s">
        <v>235</v>
      </c>
      <c r="D65" s="85" t="s">
        <v>236</v>
      </c>
      <c r="E65" s="85">
        <v>0</v>
      </c>
      <c r="F65" s="85" t="s">
        <v>232</v>
      </c>
    </row>
    <row r="66" spans="1:6" x14ac:dyDescent="0.25">
      <c r="A66" s="82">
        <v>45914.944212962961</v>
      </c>
      <c r="B66" s="83" t="s">
        <v>237</v>
      </c>
      <c r="C66" s="83" t="s">
        <v>238</v>
      </c>
      <c r="D66" s="83" t="s">
        <v>233</v>
      </c>
      <c r="E66" s="83">
        <v>81580.800000000003</v>
      </c>
      <c r="F66" s="83" t="s">
        <v>232</v>
      </c>
    </row>
    <row r="67" spans="1:6" x14ac:dyDescent="0.25">
      <c r="A67" s="84">
        <v>45914.944652777776</v>
      </c>
      <c r="B67" s="85" t="s">
        <v>237</v>
      </c>
      <c r="C67" s="85" t="s">
        <v>239</v>
      </c>
      <c r="D67" s="85" t="s">
        <v>236</v>
      </c>
      <c r="E67" s="85">
        <v>37.53</v>
      </c>
      <c r="F67" s="85" t="s">
        <v>232</v>
      </c>
    </row>
    <row r="68" spans="1:6" x14ac:dyDescent="0.25">
      <c r="A68" s="82">
        <v>45914.955775462964</v>
      </c>
      <c r="B68" s="83" t="s">
        <v>237</v>
      </c>
      <c r="C68" s="83" t="s">
        <v>238</v>
      </c>
      <c r="D68" s="83" t="s">
        <v>233</v>
      </c>
      <c r="E68" s="83">
        <v>82579.67</v>
      </c>
      <c r="F68" s="83" t="s">
        <v>232</v>
      </c>
    </row>
    <row r="69" spans="1:6" x14ac:dyDescent="0.25">
      <c r="A69" s="84">
        <v>45914.955937500003</v>
      </c>
      <c r="B69" s="85" t="s">
        <v>237</v>
      </c>
      <c r="C69" s="85" t="s">
        <v>239</v>
      </c>
      <c r="D69" s="85" t="s">
        <v>236</v>
      </c>
      <c r="E69" s="85">
        <v>13.4</v>
      </c>
      <c r="F69" s="85" t="s">
        <v>232</v>
      </c>
    </row>
    <row r="70" spans="1:6" x14ac:dyDescent="0.25">
      <c r="A70" s="82">
        <v>45914.955949074072</v>
      </c>
      <c r="B70" s="83" t="s">
        <v>237</v>
      </c>
      <c r="C70" s="83" t="s">
        <v>238</v>
      </c>
      <c r="D70" s="83" t="s">
        <v>233</v>
      </c>
      <c r="E70" s="83">
        <v>82594.66</v>
      </c>
      <c r="F70" s="83" t="s">
        <v>232</v>
      </c>
    </row>
    <row r="71" spans="1:6" x14ac:dyDescent="0.25">
      <c r="A71" s="84">
        <v>45914.956261574072</v>
      </c>
      <c r="B71" s="85" t="s">
        <v>237</v>
      </c>
      <c r="C71" s="85" t="s">
        <v>239</v>
      </c>
      <c r="D71" s="85" t="s">
        <v>236</v>
      </c>
      <c r="E71" s="85">
        <v>26.83</v>
      </c>
      <c r="F71" s="85" t="s">
        <v>232</v>
      </c>
    </row>
    <row r="72" spans="1:6" x14ac:dyDescent="0.25">
      <c r="A72" s="84">
        <v>46020.011388888888</v>
      </c>
      <c r="B72" s="85" t="s">
        <v>234</v>
      </c>
      <c r="C72" s="85" t="s">
        <v>235</v>
      </c>
      <c r="D72" s="85" t="s">
        <v>236</v>
      </c>
      <c r="E72" s="85">
        <v>0</v>
      </c>
      <c r="F72" s="85" t="s">
        <v>232</v>
      </c>
    </row>
    <row r="73" spans="1:6" x14ac:dyDescent="0.25">
      <c r="A73" s="84">
        <v>46020.032523148147</v>
      </c>
      <c r="B73" s="85" t="s">
        <v>234</v>
      </c>
      <c r="C73" s="85" t="s">
        <v>235</v>
      </c>
      <c r="D73" s="85" t="s">
        <v>236</v>
      </c>
      <c r="E73" s="85">
        <v>0</v>
      </c>
      <c r="F73" s="85" t="s">
        <v>232</v>
      </c>
    </row>
    <row r="74" spans="1:6" x14ac:dyDescent="0.25">
      <c r="A74" s="84">
        <v>46020.925567129627</v>
      </c>
      <c r="B74" s="85" t="s">
        <v>234</v>
      </c>
      <c r="C74" s="85" t="s">
        <v>235</v>
      </c>
      <c r="D74" s="85" t="s">
        <v>236</v>
      </c>
      <c r="E74" s="85">
        <v>0</v>
      </c>
      <c r="F74" s="85" t="s">
        <v>232</v>
      </c>
    </row>
    <row r="75" spans="1:6" x14ac:dyDescent="0.25">
      <c r="A75" s="84">
        <v>46020.926423611112</v>
      </c>
      <c r="B75" s="85" t="s">
        <v>234</v>
      </c>
      <c r="C75" s="85" t="s">
        <v>235</v>
      </c>
      <c r="D75" s="85" t="s">
        <v>236</v>
      </c>
      <c r="E75" s="85">
        <v>0</v>
      </c>
      <c r="F75" s="85" t="s">
        <v>232</v>
      </c>
    </row>
    <row r="76" spans="1:6" x14ac:dyDescent="0.25">
      <c r="A76" s="84">
        <v>46021.031006944446</v>
      </c>
      <c r="B76" s="85" t="s">
        <v>234</v>
      </c>
      <c r="C76" s="85" t="s">
        <v>235</v>
      </c>
      <c r="D76" s="85" t="s">
        <v>236</v>
      </c>
      <c r="E76" s="85">
        <v>0</v>
      </c>
      <c r="F76" s="85" t="s">
        <v>232</v>
      </c>
    </row>
    <row r="77" spans="1:6" x14ac:dyDescent="0.25">
      <c r="A77" s="82">
        <v>46021.03670138889</v>
      </c>
      <c r="B77" s="83" t="s">
        <v>237</v>
      </c>
      <c r="C77" s="83" t="s">
        <v>238</v>
      </c>
      <c r="D77" s="83" t="s">
        <v>233</v>
      </c>
      <c r="E77" s="83">
        <v>3171.19</v>
      </c>
      <c r="F77" s="83" t="s">
        <v>232</v>
      </c>
    </row>
    <row r="78" spans="1:6" x14ac:dyDescent="0.25">
      <c r="A78" s="84">
        <v>46021.036736111113</v>
      </c>
      <c r="B78" s="85" t="s">
        <v>237</v>
      </c>
      <c r="C78" s="85" t="s">
        <v>239</v>
      </c>
      <c r="D78" s="85" t="s">
        <v>236</v>
      </c>
      <c r="E78" s="85">
        <v>3.26</v>
      </c>
      <c r="F78" s="85" t="s">
        <v>232</v>
      </c>
    </row>
    <row r="79" spans="1:6" x14ac:dyDescent="0.25">
      <c r="A79" s="84">
        <v>46028.93136574074</v>
      </c>
      <c r="B79" s="85" t="s">
        <v>234</v>
      </c>
      <c r="C79" s="85" t="s">
        <v>235</v>
      </c>
      <c r="D79" s="85" t="s">
        <v>236</v>
      </c>
      <c r="E79" s="85">
        <v>0</v>
      </c>
      <c r="F79" s="85" t="s">
        <v>232</v>
      </c>
    </row>
    <row r="80" spans="1:6" x14ac:dyDescent="0.25">
      <c r="A80" s="84">
        <v>46028.976990740739</v>
      </c>
      <c r="B80" s="85" t="s">
        <v>234</v>
      </c>
      <c r="C80" s="85" t="s">
        <v>235</v>
      </c>
      <c r="D80" s="85" t="s">
        <v>236</v>
      </c>
      <c r="E80" s="85">
        <v>0</v>
      </c>
      <c r="F80" s="85" t="s">
        <v>232</v>
      </c>
    </row>
    <row r="81" spans="1:6" x14ac:dyDescent="0.25">
      <c r="A81" s="84">
        <v>46028.988252314812</v>
      </c>
      <c r="B81" s="85" t="s">
        <v>234</v>
      </c>
      <c r="C81" s="85" t="s">
        <v>235</v>
      </c>
      <c r="D81" s="85" t="s">
        <v>236</v>
      </c>
      <c r="E81" s="85">
        <v>0</v>
      </c>
      <c r="F81" s="85" t="s">
        <v>232</v>
      </c>
    </row>
    <row r="82" spans="1:6" x14ac:dyDescent="0.25">
      <c r="A82" s="84">
        <v>46029.075428240743</v>
      </c>
      <c r="B82" s="85" t="s">
        <v>234</v>
      </c>
      <c r="C82" s="85" t="s">
        <v>235</v>
      </c>
      <c r="D82" s="85" t="s">
        <v>236</v>
      </c>
      <c r="E82" s="85">
        <v>0</v>
      </c>
      <c r="F82" s="85" t="s">
        <v>232</v>
      </c>
    </row>
    <row r="83" spans="1:6" x14ac:dyDescent="0.25">
      <c r="A83" s="82">
        <v>46029.076168981483</v>
      </c>
      <c r="B83" s="83" t="s">
        <v>237</v>
      </c>
      <c r="C83" s="83" t="s">
        <v>238</v>
      </c>
      <c r="D83" s="83" t="s">
        <v>233</v>
      </c>
      <c r="E83" s="83">
        <v>6581.84</v>
      </c>
      <c r="F83" s="83" t="s">
        <v>232</v>
      </c>
    </row>
    <row r="84" spans="1:6" x14ac:dyDescent="0.25">
      <c r="A84" s="84">
        <v>46029.076284722221</v>
      </c>
      <c r="B84" s="85" t="s">
        <v>237</v>
      </c>
      <c r="C84" s="85" t="s">
        <v>239</v>
      </c>
      <c r="D84" s="85" t="s">
        <v>236</v>
      </c>
      <c r="E84" s="85">
        <v>9.2200000000000006</v>
      </c>
      <c r="F84" s="85" t="s">
        <v>232</v>
      </c>
    </row>
    <row r="85" spans="1:6" x14ac:dyDescent="0.25">
      <c r="A85" s="84">
        <v>46029.942696759259</v>
      </c>
      <c r="B85" s="85" t="s">
        <v>234</v>
      </c>
      <c r="C85" s="85" t="s">
        <v>235</v>
      </c>
      <c r="D85" s="85" t="s">
        <v>236</v>
      </c>
      <c r="E85" s="85">
        <v>0</v>
      </c>
      <c r="F85" s="85" t="s">
        <v>232</v>
      </c>
    </row>
    <row r="86" spans="1:6" x14ac:dyDescent="0.25">
      <c r="A86" s="82">
        <v>46029.942916666667</v>
      </c>
      <c r="B86" s="83" t="s">
        <v>237</v>
      </c>
      <c r="C86" s="83" t="s">
        <v>238</v>
      </c>
      <c r="D86" s="83" t="s">
        <v>233</v>
      </c>
      <c r="E86" s="83">
        <v>81468.210000000006</v>
      </c>
      <c r="F86" s="83" t="s">
        <v>232</v>
      </c>
    </row>
    <row r="87" spans="1:6" x14ac:dyDescent="0.25">
      <c r="A87" s="84">
        <v>46029.943344907406</v>
      </c>
      <c r="B87" s="85" t="s">
        <v>237</v>
      </c>
      <c r="C87" s="85" t="s">
        <v>239</v>
      </c>
      <c r="D87" s="85" t="s">
        <v>236</v>
      </c>
      <c r="E87" s="85">
        <v>37.5</v>
      </c>
      <c r="F87" s="85" t="s">
        <v>232</v>
      </c>
    </row>
    <row r="88" spans="1:6" x14ac:dyDescent="0.25">
      <c r="A88" s="84">
        <v>46029.974479166667</v>
      </c>
      <c r="B88" s="85" t="s">
        <v>234</v>
      </c>
      <c r="C88" s="85" t="s">
        <v>235</v>
      </c>
      <c r="D88" s="85" t="s">
        <v>236</v>
      </c>
      <c r="E88" s="85">
        <v>0</v>
      </c>
      <c r="F88" s="85" t="s">
        <v>232</v>
      </c>
    </row>
    <row r="89" spans="1:6" x14ac:dyDescent="0.25">
      <c r="A89" s="84">
        <v>46029.97934027778</v>
      </c>
      <c r="B89" s="85" t="s">
        <v>234</v>
      </c>
      <c r="C89" s="85" t="s">
        <v>235</v>
      </c>
      <c r="D89" s="85" t="s">
        <v>236</v>
      </c>
      <c r="E89" s="85">
        <v>0</v>
      </c>
      <c r="F89" s="85" t="s">
        <v>232</v>
      </c>
    </row>
    <row r="90" spans="1:6" x14ac:dyDescent="0.25">
      <c r="A90" s="84">
        <v>46029.982638888891</v>
      </c>
      <c r="B90" s="85" t="s">
        <v>234</v>
      </c>
      <c r="C90" s="85" t="s">
        <v>235</v>
      </c>
      <c r="D90" s="85" t="s">
        <v>236</v>
      </c>
      <c r="E90" s="85">
        <v>0</v>
      </c>
      <c r="F90" s="85" t="s">
        <v>232</v>
      </c>
    </row>
    <row r="91" spans="1:6" x14ac:dyDescent="0.25">
      <c r="A91" s="84">
        <v>46029.983483796299</v>
      </c>
      <c r="B91" s="85" t="s">
        <v>234</v>
      </c>
      <c r="C91" s="85" t="s">
        <v>235</v>
      </c>
      <c r="D91" s="85" t="s">
        <v>236</v>
      </c>
      <c r="E91" s="85">
        <v>0</v>
      </c>
      <c r="F91" s="85" t="s">
        <v>232</v>
      </c>
    </row>
    <row r="92" spans="1:6" x14ac:dyDescent="0.25">
      <c r="A92" s="84">
        <v>46029.985810185186</v>
      </c>
      <c r="B92" s="85" t="s">
        <v>234</v>
      </c>
      <c r="C92" s="85" t="s">
        <v>235</v>
      </c>
      <c r="D92" s="85" t="s">
        <v>236</v>
      </c>
      <c r="E92" s="85">
        <v>0</v>
      </c>
      <c r="F92" s="85" t="s">
        <v>232</v>
      </c>
    </row>
    <row r="93" spans="1:6" x14ac:dyDescent="0.25">
      <c r="A93" s="84">
        <v>46029.986180555556</v>
      </c>
      <c r="B93" s="85" t="s">
        <v>234</v>
      </c>
      <c r="C93" s="85" t="s">
        <v>235</v>
      </c>
      <c r="D93" s="85" t="s">
        <v>236</v>
      </c>
      <c r="E93" s="85">
        <v>0</v>
      </c>
      <c r="F93" s="85" t="s">
        <v>232</v>
      </c>
    </row>
    <row r="94" spans="1:6" x14ac:dyDescent="0.25">
      <c r="A94" s="84">
        <v>46030.078402777777</v>
      </c>
      <c r="B94" s="85" t="s">
        <v>234</v>
      </c>
      <c r="C94" s="85" t="s">
        <v>235</v>
      </c>
      <c r="D94" s="85" t="s">
        <v>236</v>
      </c>
      <c r="E94" s="85">
        <v>0</v>
      </c>
      <c r="F94" s="85" t="s">
        <v>232</v>
      </c>
    </row>
    <row r="95" spans="1:6" x14ac:dyDescent="0.25">
      <c r="A95" s="82">
        <v>46030.078472222223</v>
      </c>
      <c r="B95" s="83" t="s">
        <v>237</v>
      </c>
      <c r="C95" s="83" t="s">
        <v>238</v>
      </c>
      <c r="D95" s="83" t="s">
        <v>233</v>
      </c>
      <c r="E95" s="83">
        <v>6780.67</v>
      </c>
      <c r="F95" s="83" t="s">
        <v>232</v>
      </c>
    </row>
    <row r="96" spans="1:6" x14ac:dyDescent="0.25">
      <c r="A96" s="84">
        <v>46030.078819444447</v>
      </c>
      <c r="B96" s="85" t="s">
        <v>237</v>
      </c>
      <c r="C96" s="85" t="s">
        <v>239</v>
      </c>
      <c r="D96" s="85" t="s">
        <v>236</v>
      </c>
      <c r="E96" s="85">
        <v>30.06</v>
      </c>
      <c r="F96" s="85" t="s">
        <v>232</v>
      </c>
    </row>
    <row r="97" spans="1:6" x14ac:dyDescent="0.25">
      <c r="A97" s="82">
        <v>46030.081076388888</v>
      </c>
      <c r="B97" s="83" t="s">
        <v>237</v>
      </c>
      <c r="C97" s="83" t="s">
        <v>238</v>
      </c>
      <c r="D97" s="83" t="s">
        <v>233</v>
      </c>
      <c r="E97" s="83">
        <v>7005.35</v>
      </c>
      <c r="F97" s="83" t="s">
        <v>232</v>
      </c>
    </row>
    <row r="98" spans="1:6" x14ac:dyDescent="0.25">
      <c r="A98" s="84">
        <v>46030.081412037034</v>
      </c>
      <c r="B98" s="85" t="s">
        <v>237</v>
      </c>
      <c r="C98" s="85" t="s">
        <v>239</v>
      </c>
      <c r="D98" s="85" t="s">
        <v>236</v>
      </c>
      <c r="E98" s="85">
        <v>29.42</v>
      </c>
      <c r="F98" s="85" t="s">
        <v>232</v>
      </c>
    </row>
    <row r="99" spans="1:6" x14ac:dyDescent="0.25">
      <c r="A99" s="82">
        <v>46030.082372685189</v>
      </c>
      <c r="B99" s="83" t="s">
        <v>237</v>
      </c>
      <c r="C99" s="83" t="s">
        <v>238</v>
      </c>
      <c r="D99" s="83" t="s">
        <v>233</v>
      </c>
      <c r="E99" s="83">
        <v>7117.26</v>
      </c>
      <c r="F99" s="83" t="s">
        <v>232</v>
      </c>
    </row>
    <row r="100" spans="1:6" x14ac:dyDescent="0.25">
      <c r="A100" s="84">
        <v>46030.083715277775</v>
      </c>
      <c r="B100" s="85" t="s">
        <v>237</v>
      </c>
      <c r="C100" s="85" t="s">
        <v>239</v>
      </c>
      <c r="D100" s="85" t="s">
        <v>236</v>
      </c>
      <c r="E100" s="85">
        <v>116.26</v>
      </c>
      <c r="F100" s="85" t="s">
        <v>232</v>
      </c>
    </row>
    <row r="101" spans="1:6" x14ac:dyDescent="0.25">
      <c r="A101" s="82">
        <v>46030.083796296298</v>
      </c>
      <c r="B101" s="83" t="s">
        <v>242</v>
      </c>
      <c r="C101" s="83" t="s">
        <v>262</v>
      </c>
      <c r="D101" s="83" t="s">
        <v>233</v>
      </c>
      <c r="E101" s="83">
        <v>7240.66</v>
      </c>
      <c r="F101" s="83" t="s">
        <v>232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УчётВхИсх" insertAfterMso="TabData">
        <!-- Группа: Обработка данных -->
        <group id="grpProcessing" label="Обработка данных">
          <button id="btnMassProcess" label="📊 Массовая обработка" size="large" onAction="RibbonCallbacks.btnMassProcess_Click" screentip="Массовая обработка записей" supertip="Автоматическое сопоставление всех записей ВхИсх с проводками 1С"/>
          <separator id="sep1"/>
          <button id="btnMatchDoverennosti" label="🔗 Сопоставить доверенности" size="large" onAction="RibbonCallbacks.btnMatchDoverennosti_Click" screentip="Сопоставление доверенностей" supertip="Поиск соответствий между доверенностями и операциями"/>
        </group>
        <!-- Группа: Анализ и отчеты -->
        <group id="grpAnalysis" label="Анализ и отчеты">
          <button id="btnStatistics" label="📈 Статистика" size="normal" onAction="RibbonCallbacks.btnStatistics_Click" screentip="Статистика интеграции" supertip="Отчет по результатам сопоставления с 1С"/>
          <button id="btnAnalyzeOperations" label="🔍 Анализ операций" size="normal" onAction="RibbonCallbacks.btnAnalyzeOperations_Click" screentip="Анализ операций" supertip="Детальный анализ операций и документооборота"/>
          <button id="btnShowLog" label="📋 Журнал" size="normal" onAction="RibbonCallbacks.btnShowLog_Click" screentip="Журнал операций" supertip="Просмотр журнала всех выполненных операций"/>
          <!-- НОВАЯ КНОПКА -->
          <separator id="sep3"/>
          <button id="btnGenerateWordLetters" label="📝 Письма по доверенностям" size="large" onAction="RibbonCallbacks.btnGenerateWordLetters_Click" screentip="Формирование писем" supertip="Создание Word-документов с письмами по несопоставленным доверенностям"/>
        </group>
        <!-- Группа: Управление -->
        <group id="grpManagement" label="Управление">
          <button id="btnSettings" label="⚙️ Настройки" size="normal" onAction="RibbonCallbacks.btnSettings_Click" screentip="Настройки системы" supertip="Конфигурация параметров системы"/>
          <button id="btnClearMarks" label="🗑️ Очистить отметки" size="normal" onAction="RibbonCallbacks.btnClearMarks_Click" screentip="Очистить отметки" supertip="Очистить все отметки об исполнении"/>
          <separator id="sep2"/>
          <button id="btnBackupManager" label="💾 Резервные копии" size="normal" onAction="RibbonCallbacks.btnBackupManager_Click" screentip="Менеджер копий" supertip="Управление резервными копиями"/>
          <button id="btnHelp" label="❓ Справка" size="normal" onAction="RibbonCallbacks.btnHelp_Click" screentip="Справка" supertip="Справка по использованию системы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Отчеты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ВхИсх</vt:lpstr>
      <vt:lpstr>Настройки</vt:lpstr>
      <vt:lpstr>Настройки_Системы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ВхИсх!Область_печати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Евгений Кержаев</cp:lastModifiedBy>
  <dcterms:created xsi:type="dcterms:W3CDTF">2015-06-05T18:19:34Z</dcterms:created>
  <dcterms:modified xsi:type="dcterms:W3CDTF">2026-01-07T23:00:40Z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
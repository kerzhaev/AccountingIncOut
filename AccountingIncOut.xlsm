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D4156EEC-D284-42B7-A1B2-61DDBA7FE4A1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<sst xmlns="http://schemas.openxmlformats.org/spreadsheetml/2006/main" count="2252" uniqueCount="1536">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</sst>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4" totalsRowShown="0">
  <autoFilter ref="A1:B634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5" totalsRowShown="0">
  <autoFilter ref="A1:AG5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7" t="s">
        <v>140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P1" s="111" t="s">
        <v>177</v>
      </c>
      <c r="Q1" s="111"/>
      <c r="R1" s="111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5" t="s">
        <v>144</v>
      </c>
      <c r="B5" s="105"/>
      <c r="C5" s="105"/>
      <c r="E5" s="108" t="s">
        <v>146</v>
      </c>
      <c r="F5" s="108"/>
      <c r="G5" s="108"/>
      <c r="I5" s="99" t="s">
        <v>148</v>
      </c>
      <c r="J5" s="99"/>
      <c r="K5" s="99"/>
      <c r="M5" s="102" t="s">
        <v>150</v>
      </c>
      <c r="N5" s="102"/>
      <c r="O5" s="102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6">
        <v>19</v>
      </c>
      <c r="B6" s="106"/>
      <c r="C6" s="106"/>
      <c r="E6" s="109">
        <v>6</v>
      </c>
      <c r="F6" s="109"/>
      <c r="G6" s="109"/>
      <c r="I6" s="100">
        <v>0</v>
      </c>
      <c r="J6" s="100"/>
      <c r="K6" s="100"/>
      <c r="M6" s="103">
        <v>8</v>
      </c>
      <c r="N6" s="103"/>
      <c r="O6" s="103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7" t="s">
        <v>145</v>
      </c>
      <c r="B7" s="107"/>
      <c r="C7" s="107"/>
      <c r="E7" s="110" t="s">
        <v>147</v>
      </c>
      <c r="F7" s="110"/>
      <c r="G7" s="110"/>
      <c r="I7" s="101" t="s">
        <v>149</v>
      </c>
      <c r="J7" s="101"/>
      <c r="K7" s="101"/>
      <c r="M7" s="104" t="s">
        <v>151</v>
      </c>
      <c r="N7" s="104"/>
      <c r="O7" s="104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8">
        <v>0.47368421052631576</v>
      </c>
      <c r="F8" s="98"/>
      <c r="G8" s="98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2" t="s">
        <v>152</v>
      </c>
      <c r="B10" s="112"/>
      <c r="C10" s="112"/>
      <c r="D10" s="112"/>
      <c r="E10" s="112"/>
      <c r="F10" s="112"/>
      <c r="G10" s="112"/>
      <c r="I10" s="112" t="s">
        <v>155</v>
      </c>
      <c r="J10" s="112"/>
      <c r="K10" s="112"/>
      <c r="L10" s="112"/>
      <c r="M10" s="112"/>
      <c r="N10" s="112"/>
      <c r="O10" s="112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3" t="s">
        <v>158</v>
      </c>
      <c r="B27" s="113"/>
      <c r="C27" s="113"/>
      <c r="D27" s="113"/>
      <c r="E27" s="113"/>
      <c r="F27" s="113"/>
      <c r="H27" s="114" t="s">
        <v>160</v>
      </c>
      <c r="I27" s="114"/>
      <c r="J27" s="114"/>
      <c r="K27" s="114"/>
      <c r="L27" s="114"/>
      <c r="M27" s="114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7" t="s">
        <v>161</v>
      </c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7" t="s">
        <v>164</v>
      </c>
      <c r="B47" s="97"/>
      <c r="C47" s="97"/>
      <c r="D47" s="97"/>
      <c r="E47" s="97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12.170195944526435</v>
      </c>
      <c r="C49" s="57">
        <f t="shared" ref="C49:C55" ca="1" si="1">B49*0.8</f>
        <v>9.736156755621149</v>
      </c>
      <c r="D49" s="58">
        <f t="shared" ref="D49:D55" ca="1" si="2">RAND()*5+2</f>
        <v>6.2762164003239933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7.9036369216934244</v>
      </c>
      <c r="C50" s="57">
        <f t="shared" ca="1" si="1"/>
        <v>6.3229095373547395</v>
      </c>
      <c r="D50" s="58">
        <f t="shared" ca="1" si="2"/>
        <v>5.0919749862827475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5.6114061114747029</v>
      </c>
      <c r="C51" s="57">
        <f t="shared" ca="1" si="1"/>
        <v>4.4891248891797622</v>
      </c>
      <c r="D51" s="58">
        <f t="shared" ca="1" si="2"/>
        <v>5.5239371290380141</v>
      </c>
      <c r="E51" s="56">
        <f t="shared" ca="1" si="3"/>
        <v>0.79999999999999993</v>
      </c>
    </row>
    <row r="52" spans="1:5" ht="15" customHeight="1" x14ac:dyDescent="0.25">
      <c r="A52" s="40" t="s">
        <v>173</v>
      </c>
      <c r="B52" s="57">
        <f t="shared" ca="1" si="0"/>
        <v>14.933501578794804</v>
      </c>
      <c r="C52" s="57">
        <f t="shared" ca="1" si="1"/>
        <v>11.946801263035844</v>
      </c>
      <c r="D52" s="58">
        <f t="shared" ca="1" si="2"/>
        <v>6.7826829716642951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7.6102172217566881</v>
      </c>
      <c r="C53" s="57">
        <f t="shared" ca="1" si="1"/>
        <v>6.088173777405351</v>
      </c>
      <c r="D53" s="58">
        <f t="shared" ca="1" si="2"/>
        <v>5.9397700975012269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13.618520520732165</v>
      </c>
      <c r="C54" s="57">
        <f t="shared" ca="1" si="1"/>
        <v>10.894816416585734</v>
      </c>
      <c r="D54" s="58">
        <f t="shared" ca="1" si="2"/>
        <v>4.5691632805830373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13.28262024897105</v>
      </c>
      <c r="C55" s="57">
        <f t="shared" ca="1" si="1"/>
        <v>10.626096199176841</v>
      </c>
      <c r="D55" s="58">
        <f t="shared" ca="1" si="2"/>
        <v>2.0339639242677596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K12" sqref="K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1534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1483</v>
      </c>
      <c r="AD11" s="6"/>
      <c r="AE11" s="6"/>
      <c r="AF11" s="6" t="s">
        <v>1483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1535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1483</v>
      </c>
      <c r="AD12" s="6"/>
      <c r="AE12" s="6"/>
      <c r="AF12" s="6" t="s">
        <v>1483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44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46122.97084490741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4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46089.102731481478</v>
      </c>
      <c r="B2" s="81" t="s">
        <v>1390</v>
      </c>
      <c r="C2" s="81" t="s">
        <v>1108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46092.938032407408</v>
      </c>
      <c r="B3" s="81" t="s">
        <v>226</v>
      </c>
      <c r="C3" s="81" t="s">
        <v>1315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46092.938032407408</v>
      </c>
      <c r="B4" s="81" t="s">
        <v>1390</v>
      </c>
      <c r="C4" s="81" t="s">
        <v>1108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46092.949328703704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46092.949328703704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46092.959398148145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46092.959814814814</v>
      </c>
      <c r="B8" s="81" t="s">
        <v>226</v>
      </c>
      <c r="C8" s="81" t="s">
        <v>1315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46092.959814814814</v>
      </c>
      <c r="B9" s="81" t="s">
        <v>1390</v>
      </c>
      <c r="C9" s="81" t="s">
        <v>1108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46092.96503472222</v>
      </c>
      <c r="B10" s="81" t="s">
        <v>226</v>
      </c>
      <c r="C10" s="81" t="s">
        <v>1315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46092.966956018521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46092.966956018521</v>
      </c>
      <c r="B12" s="81" t="s">
        <v>1390</v>
      </c>
      <c r="C12" s="81" t="s">
        <v>1108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46092.96733796296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46092.970543981479</v>
      </c>
      <c r="B14" s="81" t="s">
        <v>226</v>
      </c>
      <c r="C14" s="81" t="s">
        <v>1315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46092.975671296299</v>
      </c>
      <c r="B15" s="81" t="s">
        <v>226</v>
      </c>
      <c r="C15" s="81" t="s">
        <v>1315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46092.994837962964</v>
      </c>
      <c r="B16" s="81" t="s">
        <v>226</v>
      </c>
      <c r="C16" s="81" t="s">
        <v>1315</v>
      </c>
      <c r="D16" s="81" t="s">
        <v>227</v>
      </c>
      <c r="E16" s="81">
        <v>0</v>
      </c>
      <c r="F16" s="81" t="s">
        <v>232</v>
      </c>
    </row>
    <row r="17" spans="1:6" x14ac:dyDescent="0.25">
      <c r="A17" s="80">
        <v>46117.959062499998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46117.959467592591</v>
      </c>
      <c r="B18" s="81" t="s">
        <v>226</v>
      </c>
      <c r="C18" s="81" t="s">
        <v>1315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46117.96292824074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46117.96292824074</v>
      </c>
      <c r="B20" s="81" t="s">
        <v>1390</v>
      </c>
      <c r="C20" s="81" t="s">
        <v>1108</v>
      </c>
      <c r="D20" s="81" t="s">
        <v>227</v>
      </c>
      <c r="E20" s="81">
        <v>0</v>
      </c>
      <c r="F20" s="81" t="s">
        <v>232</v>
      </c>
    </row>
    <row r="21" spans="1:6" x14ac:dyDescent="0.25">
      <c r="A21" s="78">
        <v>46117.964942129627</v>
      </c>
      <c r="B21" s="79" t="s">
        <v>228</v>
      </c>
      <c r="C21" s="79" t="s">
        <v>229</v>
      </c>
      <c r="D21" s="79" t="s">
        <v>225</v>
      </c>
      <c r="E21" s="79">
        <v>83371.12</v>
      </c>
      <c r="F21" s="79" t="s">
        <v>232</v>
      </c>
    </row>
    <row r="22" spans="1:6" x14ac:dyDescent="0.25">
      <c r="A22" s="80">
        <v>46117.964988425927</v>
      </c>
      <c r="B22" s="81" t="s">
        <v>228</v>
      </c>
      <c r="C22" s="81" t="s">
        <v>230</v>
      </c>
      <c r="D22" s="81" t="s">
        <v>227</v>
      </c>
      <c r="E22" s="81">
        <v>4.22</v>
      </c>
      <c r="F22" s="81" t="s">
        <v>232</v>
      </c>
    </row>
    <row r="23" spans="1:6" x14ac:dyDescent="0.25">
      <c r="A23" s="80">
        <v>46117.968171296299</v>
      </c>
      <c r="B23" s="81" t="s">
        <v>226</v>
      </c>
      <c r="C23" s="81" t="s">
        <v>1315</v>
      </c>
      <c r="D23" s="81" t="s">
        <v>227</v>
      </c>
      <c r="E23" s="81">
        <v>0</v>
      </c>
      <c r="F23" s="81" t="s">
        <v>232</v>
      </c>
    </row>
    <row r="24" spans="1:6" x14ac:dyDescent="0.25">
      <c r="A24" s="80">
        <v>46117.968171296299</v>
      </c>
      <c r="B24" s="81" t="s">
        <v>1390</v>
      </c>
      <c r="C24" s="81" t="s">
        <v>1108</v>
      </c>
      <c r="D24" s="81" t="s">
        <v>227</v>
      </c>
      <c r="E24" s="81">
        <v>0</v>
      </c>
      <c r="F24" s="81" t="s">
        <v>232</v>
      </c>
    </row>
    <row r="25" spans="1:6" x14ac:dyDescent="0.25">
      <c r="A25" s="80">
        <v>46118.022685185184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46118.024155092593</v>
      </c>
      <c r="B26" s="81" t="s">
        <v>226</v>
      </c>
      <c r="C26" s="81" t="s">
        <v>1315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46118.024907407409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46118.024907407409</v>
      </c>
      <c r="B28" s="81" t="s">
        <v>1390</v>
      </c>
      <c r="C28" s="81" t="s">
        <v>1108</v>
      </c>
      <c r="D28" s="81" t="s">
        <v>227</v>
      </c>
      <c r="E28" s="81">
        <v>0</v>
      </c>
      <c r="F28" s="81" t="s">
        <v>232</v>
      </c>
    </row>
    <row r="29" spans="1:6" x14ac:dyDescent="0.25">
      <c r="A29" s="78">
        <v>46118.025312500002</v>
      </c>
      <c r="B29" s="79" t="s">
        <v>228</v>
      </c>
      <c r="C29" s="79" t="s">
        <v>229</v>
      </c>
      <c r="D29" s="79" t="s">
        <v>225</v>
      </c>
      <c r="E29" s="79">
        <v>2187.0500000000002</v>
      </c>
      <c r="F29" s="79" t="s">
        <v>232</v>
      </c>
    </row>
    <row r="30" spans="1:6" x14ac:dyDescent="0.25">
      <c r="A30" s="80">
        <v>46118.025937500002</v>
      </c>
      <c r="B30" s="81" t="s">
        <v>228</v>
      </c>
      <c r="C30" s="81" t="s">
        <v>230</v>
      </c>
      <c r="D30" s="81" t="s">
        <v>227</v>
      </c>
      <c r="E30" s="81">
        <v>54.91</v>
      </c>
      <c r="F30" s="81" t="s">
        <v>232</v>
      </c>
    </row>
    <row r="31" spans="1:6" x14ac:dyDescent="0.25">
      <c r="A31" s="80">
        <v>46118.032083333332</v>
      </c>
      <c r="B31" s="81" t="s">
        <v>226</v>
      </c>
      <c r="C31" s="81" t="s">
        <v>1315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46118.033078703702</v>
      </c>
      <c r="B32" s="81" t="s">
        <v>226</v>
      </c>
      <c r="C32" s="81" t="s">
        <v>1315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46118.035115740742</v>
      </c>
      <c r="B33" s="81" t="s">
        <v>226</v>
      </c>
      <c r="C33" s="81" t="s">
        <v>1315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46118.035115740742</v>
      </c>
      <c r="B34" s="81" t="s">
        <v>1390</v>
      </c>
      <c r="C34" s="81" t="s">
        <v>1108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46118.052129629628</v>
      </c>
      <c r="B35" s="81" t="s">
        <v>226</v>
      </c>
      <c r="C35" s="81" t="s">
        <v>1315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46118.052986111114</v>
      </c>
      <c r="B36" s="81" t="s">
        <v>226</v>
      </c>
      <c r="C36" s="81" t="s">
        <v>1315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46118.052986111114</v>
      </c>
      <c r="B37" s="81" t="s">
        <v>1390</v>
      </c>
      <c r="C37" s="81" t="s">
        <v>1108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46118.075891203705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46118.075891203705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46119.898344907408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46119.898344907408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46119.928402777776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46119.928402777776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46119.939756944441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46119.939756944441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46119.942766203705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46119.942766203705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46119.944884259261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46119.944884259261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46119.95207175926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46119.95207175926</v>
      </c>
      <c r="B51" s="81" t="s">
        <v>1390</v>
      </c>
      <c r="C51" s="81" t="s">
        <v>1108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46119.960509259261</v>
      </c>
      <c r="B52" s="81" t="s">
        <v>226</v>
      </c>
      <c r="C52" s="81" t="s">
        <v>1315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46119.960509259261</v>
      </c>
      <c r="B53" s="81" t="s">
        <v>1390</v>
      </c>
      <c r="C53" s="81" t="s">
        <v>1108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46119.962476851855</v>
      </c>
      <c r="B54" s="81" t="s">
        <v>226</v>
      </c>
      <c r="C54" s="81" t="s">
        <v>1315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46119.962476851855</v>
      </c>
      <c r="B55" s="81" t="s">
        <v>1390</v>
      </c>
      <c r="C55" s="81" t="s">
        <v>1108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46119.969814814816</v>
      </c>
      <c r="B56" s="81" t="s">
        <v>226</v>
      </c>
      <c r="C56" s="81" t="s">
        <v>1315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46120.001226851855</v>
      </c>
      <c r="B57" s="81" t="s">
        <v>226</v>
      </c>
      <c r="C57" s="81" t="s">
        <v>1315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46120.001226851855</v>
      </c>
      <c r="B58" s="81" t="s">
        <v>1390</v>
      </c>
      <c r="C58" s="81" t="s">
        <v>1108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46120.005752314813</v>
      </c>
      <c r="B59" s="81" t="s">
        <v>226</v>
      </c>
      <c r="C59" s="81" t="s">
        <v>1315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46120.005752314813</v>
      </c>
      <c r="B60" s="81" t="s">
        <v>1390</v>
      </c>
      <c r="C60" s="81" t="s">
        <v>1108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46120.006076388891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46120.006076388891</v>
      </c>
      <c r="B62" s="81" t="s">
        <v>1390</v>
      </c>
      <c r="C62" s="81" t="s">
        <v>1108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46121.986979166664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46121.994409722225</v>
      </c>
      <c r="B64" s="81" t="s">
        <v>226</v>
      </c>
      <c r="C64" s="81" t="s">
        <v>1315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46121.994409722225</v>
      </c>
      <c r="B65" s="81" t="s">
        <v>1390</v>
      </c>
      <c r="C65" s="81" t="s">
        <v>1108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46121.99858796296</v>
      </c>
      <c r="B66" s="81" t="s">
        <v>226</v>
      </c>
      <c r="C66" s="81" t="s">
        <v>1315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46122.005127314813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46122.014317129629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46122.016759259262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46122.021226851852</v>
      </c>
      <c r="B70" s="81" t="s">
        <v>226</v>
      </c>
      <c r="C70" s="81" t="s">
        <v>1315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46122.025856481479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46122.025856481479</v>
      </c>
      <c r="B72" s="81" t="s">
        <v>1390</v>
      </c>
      <c r="C72" s="81" t="s">
        <v>1108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46122.030173611114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46122.036979166667</v>
      </c>
      <c r="B74" s="81" t="s">
        <v>226</v>
      </c>
      <c r="C74" s="81" t="s">
        <v>1315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46122.042083333334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46122.042083333334</v>
      </c>
      <c r="B76" s="81" t="s">
        <v>1390</v>
      </c>
      <c r="C76" s="81" t="s">
        <v>1108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46122.044803240744</v>
      </c>
      <c r="B77" s="81" t="s">
        <v>226</v>
      </c>
      <c r="C77" s="81" t="s">
        <v>1315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46122.048356481479</v>
      </c>
      <c r="B78" s="81" t="s">
        <v>226</v>
      </c>
      <c r="C78" s="81" t="s">
        <v>1315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46122.049097222225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46122.049097222225</v>
      </c>
      <c r="B80" s="81" t="s">
        <v>1390</v>
      </c>
      <c r="C80" s="81" t="s">
        <v>1108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46122.051238425927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46122.05195601852</v>
      </c>
      <c r="B82" s="81" t="s">
        <v>226</v>
      </c>
      <c r="C82" s="81" t="s">
        <v>1315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46122.05195601852</v>
      </c>
      <c r="B83" s="81" t="s">
        <v>1390</v>
      </c>
      <c r="C83" s="81" t="s">
        <v>1108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46122.056435185186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46122.057210648149</v>
      </c>
      <c r="B85" s="81" t="s">
        <v>226</v>
      </c>
      <c r="C85" s="81" t="s">
        <v>1315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46122.057673611111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46122.06417824074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46122.06417824074</v>
      </c>
      <c r="B88" s="81" t="s">
        <v>1390</v>
      </c>
      <c r="C88" s="81" t="s">
        <v>1108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46122.780335648145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46122.784143518518</v>
      </c>
      <c r="B90" s="81" t="s">
        <v>226</v>
      </c>
      <c r="C90" s="81" t="s">
        <v>1315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46122.784143518518</v>
      </c>
      <c r="B91" s="81" t="s">
        <v>1390</v>
      </c>
      <c r="C91" s="81" t="s">
        <v>1108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46122.786076388889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46122.909675925926</v>
      </c>
      <c r="B93" s="81" t="s">
        <v>226</v>
      </c>
      <c r="C93" s="81" t="s">
        <v>1315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46122.909675925926</v>
      </c>
      <c r="B94" s="81" t="s">
        <v>1390</v>
      </c>
      <c r="C94" s="81" t="s">
        <v>1108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46122.91878472222</v>
      </c>
      <c r="B95" s="81" t="s">
        <v>226</v>
      </c>
      <c r="C95" s="81" t="s">
        <v>1315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46122.931828703702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46122.931828703702</v>
      </c>
      <c r="B97" s="81" t="s">
        <v>1390</v>
      </c>
      <c r="C97" s="81" t="s">
        <v>1108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46122.947696759256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46122.947696759256</v>
      </c>
      <c r="B99" s="81" t="s">
        <v>1390</v>
      </c>
      <c r="C99" s="81" t="s">
        <v>1108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46122.962118055555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46122.962118055555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5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2026-04-10T20:18:01Z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
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DA9B190A-AA50-41B4-8C59-6EE434068A6D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</sheets>
  <functionGroups builtInGroupCount="19"/>
  <definedNames>
    <definedName name="_FilterDatabase" localSheetId="10" hidden="1">OperationLog!$A$1:$F$21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<sst xmlns="http://schemas.openxmlformats.org/spreadsheetml/2006/main" count="2070" uniqueCount="1435">
  <si>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</si>
  <si>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</si>
  <si>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</si>
  <si>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</si>
  <si>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</si>
  <si>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</si>
  <si>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</si>
  <si>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</si>
  <si>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</si>
  <si>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</si>
  <si>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</si>
  <si>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</si>
  <si>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</si>
  <si>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</si>
  <si>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</si>
  <si>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</si>
  <si>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</si>
  <si>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</si>
  <si>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</si>
  <si>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</si>
  <si>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</si>
  <si>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</si>
  <si>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</si>
  <si>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</si>
  <si>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</si>
  <si>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</si>
  <si>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</si>
  <si>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</si>
  <si>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</si>
  <si>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</si>
  <si>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</si>
  <si>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</si>
  <si>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</si>
  <si>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</si>
  <si>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</si>
  <si>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</si>
  <si>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</si>
  <si>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</si>
  <si>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</si>
  <si>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</si>
  <si>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</si>
  <si>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</si>
  <si>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</si>
  <si>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</si>
  <si>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</si>
  <si>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</si>
  <si>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</si>
  <si>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</si>
  <si>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</si>
  <si>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</si>
  <si>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</si>
  <si>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</si>
  <si>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</si>
  <si>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</si>
  <si>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</si>
  <si>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</si>
  <si>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</si>
  <si>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</si>
  <si>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</si>
  <si>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</si>
  <si>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</si>
  <si>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</si>
  <si>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</si>
  <si>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</si>
  <si>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</si>
  <si>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</si>
  <si>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</si>
  <si>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</si>
  <si>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</si>
  <si>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</si>
  <si>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</si>
  <si>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</si>
  <si>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</si>
  <si>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</si>
  <si>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</si>
  <si>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</si>
  <si>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</si>
  <si>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</si>
  <si>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</si>
  <si>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</si>
  <si>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</si>
  <si>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</si>
  <si>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</si>
  <si>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</si>
  <si>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</si>
  <si>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</si>
  <si>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</si>
  <si>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</si>
  <si>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</si>
  <si>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</si>
  <si>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</si>
  <si>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</si>
  <si>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</si>
  <si>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</si>
  <si>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</si>
  <si>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</si>
  <si>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</si>
  <si>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</si>
  <si>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</si>
  <si>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</si>
  <si>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</si>
  <si>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</si>
  <si>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</si>
  <si>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</si>
  <si>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</si>
  <si>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</si>
  <si>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</si>
  <si>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</si>
  <si>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</si>
  <si>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</si>
  <si>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</si>
  <si>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</si>
  <si>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</si>
  <si>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</si>
  <si>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</si>
  <si>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</si>
  <si>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</si>
  <si>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</si>
  <si>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</si>
  <si>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</si>
  <si>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</si>
  <si>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</si>
  <si>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</si>
  <si>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</si>
  <si>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</si>
  <si>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</si>
  <si>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</si>
  <si>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</si>
  <si>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</si>
  <si>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</si>
  <si>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</si>
  <si>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</si>
  <si>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</si>
  <si>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</si>
  <si>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</si>
  <si>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</si>
  <si>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</si>
  <si>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</si>
  <si>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</si>
  <si>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</si>
  <si>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</si>
  <si>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</si>
  <si>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</si>
  <si>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</si>
  <si>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</si>
  <si>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</si>
  <si>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</si>
  <si>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</si>
  <si>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</si>
  <si>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</si>
  <si>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</si>
  <si>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</si>
  <si>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</si>
  <si>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</si>
  <si>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</si>
  <si>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</si>
  <si>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</si>
  <si>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</si>
  <si>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</si>
  <si>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</si>
  <si>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</si>
  <si>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</si>
  <si>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</si>
  <si>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</si>
  <si>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</si>
  <si>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</si>
  <si>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</si>
  <si>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</si>
  <si>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</si>
  <si>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</si>
  <si>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</si>
  <si>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</si>
  <si>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</si>
  <si>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</si>
  <si>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</si>
  <si>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</si>
  <si>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</si>
  <si>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</si>
  <si>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</si>
  <si>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</si>
  <si>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</si>
  <si>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</si>
  <si>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</si>
  <si>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</si>
  <si>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</si>
  <si>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</si>
  <si>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</si>
  <si>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</si>
  <si>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</si>
  <si>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</si>
  <si>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</si>
  <si>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</si>
  <si>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</si>
  <si>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</si>
  <si>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</si>
  <si>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</si>
  <si>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</si>
  <si>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</si>
  <si>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</si>
  <si>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</si>
  <si>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</si>
  <si>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</si>
  <si>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</si>
  <si>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</si>
  <si>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</si>
  <si>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</si>
  <si>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</si>
  <si>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</si>
  <si>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</si>
  <si>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</si>
  <si>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</si>
  <si>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</si>
  <si>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</si>
  <si>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</si>
  <si>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</si>
  <si>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</si>
  <si>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</si>
  <si>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</si>
  <si>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</si>
  <si>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</si>
  <si>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</si>
  <si>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</si>
  <si>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</si>
  <si>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</si>
  <si>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</si>
  <si>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</si>
  <si>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</si>
  <si>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</si>
  <si>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</si>
  <si>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</si>
  <si>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</si>
  <si>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</si>
  <si>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</si>
  <si>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</si>
  <si>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</si>
  <si>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</si>
  <si>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</si>
  <si>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</si>
  <si>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</si>
  <si>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</si>
  <si>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</si>
  <si>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</si>
  <si>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</si>
  <si>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</si>
  <si>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</si>
  <si>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</si>
  <si>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</si>
  <si>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</si>
  <si>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</si>
  <si>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</si>
  <si>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</si>
  <si>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</si>
  <si>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</si>
  <si>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</si>
  <si>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</si>
  <si>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</si>
  <si>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</si>
  <si>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</si>
  <si>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</si>
  <si>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</si>
  <si>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</si>
  <si>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</si>
  <si>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</si>
  <si>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</si>
  <si>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</si>
  <si>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</si>
  <si>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</si>
  <si>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</si>
  <si>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</si>
  <si>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</si>
  <si>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</si>
  <si>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</si>
  <si>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</si>
  <si>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</si>
  <si>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</si>
  <si>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</si>
  <si>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</si>
  <si>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</si>
  <si>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</si>
  <si>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</si>
  <si>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</si>
  <si>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</si>
  <si>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</si>
  <si>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</si>
  <si>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</si>
  <si>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</si>
  <si>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</si>
  <si>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</si>
  <si>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</si>
  <si>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</si>
  <si>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</si>
  <si>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</si>
  <si>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</si>
  <si>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</si>
  <si>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</si>
  <si>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</si>
  <si>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</si>
  <si>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</si>
  <si>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</si>
  <si>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</si>
  <si>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</si>
  <si>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</si>
  <si>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</si>
  <si>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</si>
  <si>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</si>
  <si>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</si>
  <si>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</si>
  <si>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</si>
  <si>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</si>
  <si>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</si>
  <si>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</si>
  <si>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</si>
  <si>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</si>
  <si>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</si>
  <si>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</si>
  <si>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</si>
  <si>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</si>
  <si>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</si>
  <si>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</si>
  <si>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</si>
  <si>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</si>
  <si>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</si>
  <si>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</si>
  <si>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</si>
  <si>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</si>
  <si>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</si>
  <si>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</si>
  <si>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</si>
  <si>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</si>
  <si>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</si>
  <si>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</si>
  <si>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</si>
  <si>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</si>
  <si>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</si>
  <si>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</si>
  <si>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</si>
  <si>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</si>
  <si>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</si>
  <si>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</si>
  <si>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</si>
  <si>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</si>
  <si>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</si>
  <si>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</si>
  <si>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</si>
  <si>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</si>
  <si>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</si>
  <si>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</si>
  <si>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</si>
  <si>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</si>
  <si>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</si>
  <si>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</si>
  <si>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</si>
  <si>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</si>
  <si>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</si>
  <si>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</si>
  <si>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</si>
  <si>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</si>
  <si>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</si>
  <si>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</si>
  <si>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</si>
  <si>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</si>
  <si>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</si>
  <si>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</si>
  <si>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</si>
  <si>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</si>
  <si>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</si>
  <si>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</si>
  <si>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</si>
  <si>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</si>
  <si>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</si>
  <si>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</si>
  <si>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</si>
  <si>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</si>
  <si>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</si>
  <si>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</si>
  <si>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</si>
  <si>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</si>
  <si>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</si>
  <si>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</si>
  <si>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</si>
  <si>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</si>
  <si>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</si>
  <si>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</si>
  <si>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</si>
  <si>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</si>
  <si>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</si>
  <si>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</si>
  <si>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</si>
  <si>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</si>
  <si>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</si>
  <si>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</si>
  <si>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</si>
  <si>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</si>
  <si>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</si>
  <si>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</si>
  <si>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</si>
  <si>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</si>
  <si>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</si>
  <si>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</si>
  <si>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</si>
  <si>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</si>
  <si>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</si>
  <si>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</si>
  <si>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</si>
  <si>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</si>
  <si>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</si>
  <si>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</si>
  <si>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</si>
  <si>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</si>
  <si>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</si>
  <si>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</si>
  <si>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</si>
  <si>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</si>
  <si>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</si>
  <si>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</si>
  <si>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</si>
  <si>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</si>
  <si>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</si>
  <si>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</si>
  <si>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</si>
  <si>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</si>
  <si>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</si>
  <si>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</si>
  <si>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</si>
  <si>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</si>
  <si>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</si>
  <si>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</si>
  <si>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</si>
  <si>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</si>
  <si>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</si>
  <si>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</si>
  <si>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</si>
  <si>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</si>
  <si>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</si>
  <si>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</si>
  <si>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</si>
  <si>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</si>
  <si>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</si>
  <si>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</si>
  <si>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</si>
  <si>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</si>
  <si>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</si>
  <si>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</si>
  <si>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</si>
  <si>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</si>
  <si>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</si>
  <si>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</si>
  <si>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</si>
  <si>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</si>
  <si>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</si>
  <si>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</si>
  <si>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</si>
  <si>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</si>
  <si>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</si>
  <si>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</si>
  <si>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</si>
  <si>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</si>
  <si>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</si>
  <si>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</si>
  <si>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</si>
  <si>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</si>
  <si>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</si>
  <si>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</si>
  <si>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</si>
  <si>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</si>
  <si>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</si>
  <si>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</si>
  <si>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</si>
  <si>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</si>
  <si>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</si>
  <si>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</si>
  <si>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</si>
  <si>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</si>
  <si>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</si>
  <si>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</si>
  <si>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</si>
  <si>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</si>
  <si>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</si>
  <si>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</si>
  <si>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</si>
  <si>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</si>
  <si>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</si>
  <si>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</si>
  <si>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</si>
  <si>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</si>
  <si>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</si>
  <si>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</si>
  <si>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</si>
  <si>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</si>
  <si>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</si>
  <si>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</si>
  <si>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</si>
  <si>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</si>
  <si>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</si>
  <si>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</si>
  <si>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</si>
  <si>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</si>
  <si>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</si>
  <si>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</si>
  <si>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</si>
  <si>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</si>
  <si>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</si>
  <si>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</si>
  <si>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</si>
  <si>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</si>
  <si>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</si>
  <si>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</si>
  <si>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</si>
  <si>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</si>
  <si>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</si>
  <si>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</si>
  <si>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</si>
  <si>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</si>
  <si>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</si>
  <si>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</si>
  <si>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</si>
  <si>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</si>
  <si>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</si>
  <si>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</si>
  <si>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</si>
  <si>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</si>
  <si>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</si>
  <si>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</si>
  <si>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</si>
  <si>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</si>
  <si>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</si>
  <si>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</si>
  <si>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</si>
  <si>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</si>
  <si>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</si>
  <si>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</si>
  <si>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</si>
  <si>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</si>
  <si>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</si>
  <si>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</si>
  <si>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</si>
  <si>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</si>
  <si>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</si>
  <si>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</si>
  <si>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</si>
  <si>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</si>
  <si>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</si>
  <si>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</si>
  <si>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</si>
  <si>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</si>
  <si>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</si>
  <si>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</si>
  <si>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</si>
  <si>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</si>
  <si>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</si>
  <si>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</si>
  <si>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</si>
  <si>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</si>
  <si>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</si>
  <si>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</si>
  <si>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</si>
  <si>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</si>
  <si>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</si>
  <si>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</si>
  <si>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</si>
  <si>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</si>
  <si>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</si>
  <si>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</si>
  <si>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</si>
  <si>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</si>
  <si>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</si>
  <si>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</si>
  <si>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</si>
  <si>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</si>
  <si>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</si>
  <si>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</si>
  <si>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</si>
  <si>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</si>
  <si>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</si>
  <si>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</si>
  <si>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</si>
  <si>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</si>
  <si>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</si>
  <si>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</si>
  <si>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</si>
  <si>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</si>
  <si>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</si>
  <si>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</si>
  <si>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</si>
  <si>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</si>
  <si>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</si>
  <si>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</si>
  <si>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</si>
  <si>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</si>
  <si>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</si>
  <si>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</si>
  <si>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</si>
  <si>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</si>
  <si>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</si>
  <si>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</si>
  <si>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</si>
  <si>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</si>
  <si>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</si>
  <si>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</si>
  <si>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</si>
  <si>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</si>
  <si>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</si>
  <si>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</si>
  <si>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</si>
  <si>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</si>
  <si>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</si>
  <si>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</si>
  <si>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</si>
  <si>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</si>
  <si>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</si>
  <si>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</si>
  <si>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</si>
  <si>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</si>
  <si>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</si>
  <si>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</si>
  <si>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</si>
  <si>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</si>
  <si>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</si>
  <si>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</si>
  <si>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</si>
  <si>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</si>
  <si>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</si>
  <si>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</si>
  <si>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</si>
  <si>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</si>
  <si>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</si>
  <si>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</si>
  <si>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</si>
  <si>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</si>
  <si>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</si>
  <si>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</si>
  <si>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</si>
  <si>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</si>
  <si>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</si>
  <si>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</si>
  <si>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</si>
  <si>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</si>
  <si>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</si>
  <si>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</si>
  <si>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</si>
  <si>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</si>
  <si>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</si>
  <si>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</si>
  <si>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</si>
  <si>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</si>
  <si>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</si>
  <si>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</si>
  <si>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</si>
  <si>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</si>
  <si>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</si>
  <si>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</si>
  <si>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</si>
  <si>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</si>
  <si>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</si>
  <si>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</si>
  <si>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</si>
  <si>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</si>
  <si>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</si>
  <si>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</si>
  <si>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</si>
  <si>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</si>
  <si>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</si>
  <si>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</si>
  <si>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</si>
  <si>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</si>
  <si>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</si>
  <si>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</si>
  <si>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</si>
  <si>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</si>
  <si>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</si>
  <si>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</si>
  <si>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</si>
  <si>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</si>
  <si>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</si>
  <si>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</si>
  <si>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</si>
  <si>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</si>
  <si>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</si>
  <si>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</si>
  <si>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</si>
  <si>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</si>
  <si>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</si>
  <si>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</si>
  <si>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</si>
  <si>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</si>
  <si>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</si>
  <si>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</si>
  <si>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</si>
  <si>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</si>
  <si>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</si>
  <si>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</si>
  <si>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</si>
  <si>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</si>
  <si>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</si>
  <si>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</si>
  <si>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</si>
  <si>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</si>
  <si>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</si>
  <si>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</si>
  <si>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</si>
  <si>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</si>
  <si>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</si>
  <si>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</si>
  <si>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</si>
  <si>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</si>
  <si>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</si>
  <si>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</si>
  <si>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</si>
  <si>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</si>
  <si>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</si>
  <si>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</si>
  <si>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</si>
  <si>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</si>
  <si>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</si>
  <si>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</si>
  <si>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</si>
  <si>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</si>
  <si>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</si>
  <si>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</si>
  <si>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</si>
  <si>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</si>
  <si>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</si>
  <si>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</si>
  <si>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</si>
  <si>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</si>
  <si>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</si>
  <si>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</si>
  <si>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</si>
  <si>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</si>
  <si>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</si>
  <si>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</si>
  <si>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</si>
  <si>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</si>
  <si>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</si>
  <si>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</si>
  <si>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</si>
  <si>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</si>
  <si>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</si>
  <si>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</si>
  <si>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</si>
  <si>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</si>
  <si>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</si>
  <si>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</si>
  <si>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</si>
  <si>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</si>
  <si>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</si>
  <si>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</si>
  <si>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</si>
  <si>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</si>
  <si>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</si>
  <si>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</si>
  <si>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</si>
  <si>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</si>
  <si>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</si>
  <si>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</si>
  <si>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</si>
  <si>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</si>
  <si>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</si>
  <si>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</si>
  <si>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</si>
  <si>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</si>
  <si>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</si>
  <si>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</si>
  <si>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</si>
  <si>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</si>
  <si>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</si>
  <si>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</si>
  <si>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</si>
  <si>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</si>
  <si>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</si>
  <si>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</si>
  <si>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</si>
  <si>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</si>
  <si>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</si>
  <si>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</si>
  <si>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</si>
  <si>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</si>
  <si>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</si>
  <si>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</si>
  <si>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</si>
  <si>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</si>
  <si>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</si>
  <si>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</si>
  <si>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</si>
  <si>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</si>
  <si>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</si>
  <si>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</si>
  <si>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</si>
  <si>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</si>
  <si>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</si>
  <si>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</si>
  <si>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</si>
  <si>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</si>
  <si>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</si>
  <si>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</si>
  <si>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</si>
  <si>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</si>
  <si>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</si>
  <si>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</si>
  <si>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</si>
  <si>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</si>
  <si>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</si>
  <si>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</si>
  <si>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</si>
  <si>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</si>
  <si>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</si>
  <si>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</si>
  <si>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</si>
  <si>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</si>
  <si>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</si>
  <si>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</si>
  <si>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</si>
  <si>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</si>
  <si>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</si>
  <si>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</si>
  <si>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</si>
  <si>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</si>
  <si>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</si>
  <si>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</si>
  <si>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</si>
  <si>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</si>
  <si>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</si>
  <si>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</si>
  <si>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</si>
  <si>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</si>
  <si>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</si>
  <si>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</si>
  <si>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</si>
  <si>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</si>
  <si>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</si>
  <si>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</si>
  <si>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</si>
  <si>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</si>
  <si>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</si>
  <si>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</si>
  <si>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</si>
  <si>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</si>
  <si>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</si>
  <si>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</si>
  <si>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</si>
  <si>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</si>
  <si>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</si>
  <si>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</si>
  <si>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</si>
  <si>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</si>
  <si>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</si>
  <si>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</si>
  <si>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</si>
  <si>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</si>
  <si>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</si>
  <si>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</si>
  <si>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</si>
  <si>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</si>
  <si>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</si>
  <si>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</si>
  <si>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</si>
  <si>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</si>
  <si>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</si>
  <si>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</si>
  <si>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</si>
  <si>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</si>
  <si>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</si>
  <si>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</si>
  <si>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</si>
  <si>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</si>
  <si>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</si>
  <si>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</si>
  <si>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</si>
  <si>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</si>
  <si>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</si>
  <si>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</si>
  <si>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</si>
  <si>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</si>
  <si>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</si>
  <si>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</si>
  <si>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</si>
  <si>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</si>
  <si>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</si>
  <si>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</si>
  <si>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</si>
  <si>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</si>
  <si>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</si>
  <si>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</si>
  <si>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</si>
  <si>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</si>
  <si>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</si>
  <si>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</si>
  <si>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</si>
  <si>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</si>
  <si>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</si>
  <si>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</si>
  <si>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</si>
  <si>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</si>
  <si>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</si>
  <si>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</si>
  <si>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</si>
  <si>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</si>
  <si>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</si>
  <si>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</si>
  <si>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</si>
  <si>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</si>
  <si>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</si>
  <si>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</si>
  <si>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</si>
  <si>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</si>
  <si>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</si>
  <si>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</si>
  <si>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</si>
  <si>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</si>
  <si>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</si>
  <si>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</si>
  <si>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</si>
  <si>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</si>
  <si>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</si>
  <si>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</si>
  <si>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</si>
  <si>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</si>
  <si>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</si>
  <si>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</si>
  <si>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</si>
  <si>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</si>
  <si>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</si>
  <si>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</si>
  <si>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</si>
  <si>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</si>
  <si>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</si>
  <si>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</si>
  <si>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</si>
  <si>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</si>
  <si>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</si>
  <si>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</si>
  <si>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</si>
  <si>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</si>
  <si>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</si>
  <si>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</si>
  <si>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</si>
  <si>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</si>
  <si>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</si>
  <si>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</si>
  <si>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</si>
  <si>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</si>
  <si>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</si>
  <si>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</si>
  <si>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</si>
  <si>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</si>
  <si>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</si>
  <si>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</si>
  <si>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</si>
  <si>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</si>
  <si>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</si>
  <si>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</si>
  <si>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</si>
  <si>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</si>
  <si>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</si>
  <si>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</si>
  <si>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</si>
  <si>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</si>
  <si>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</si>
  <si>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</si>
  <si>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</si>
  <si>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</si>
  <si>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</si>
  <si>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</si>
  <si>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</si>
  <si>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</si>
  <si>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</si>
  <si>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</si>
  <si>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</si>
  <si>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</si>
  <si>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</si>
  <si>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</si>
  <si>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</si>
  <si>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</si>
  <si>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</si>
  <si>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</si>
  <si>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</si>
  <si>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</si>
  <si>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</si>
  <si>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</si>
  <si>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</si>
  <si>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</si>
  <si>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</si>
  <si>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</si>
  <si>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</si>
  <si>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</si>
  <si>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</si>
  <si>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</si>
  <si>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</si>
  <si>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</si>
  <si>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</si>
  <si>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</si>
  <si>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</si>
  <si>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</si>
  <si>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</si>
  <si>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</si>
  <si>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</si>
  <si>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</si>
  <si>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</si>
  <si>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</si>
  <si>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</si>
  <si>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</si>
  <si>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</si>
  <si>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</si>
  <si>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</si>
  <si>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</si>
  <si>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</si>
  <si>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</si>
  <si>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</si>
  <si>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</si>
  <si>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</si>
  <si>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</si>
  <si>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</si>
  <si>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</si>
  <si>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</si>
  <si>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</si>
  <si>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</si>
  <si>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</si>
  <si>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</si>
  <si>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</si>
  <si>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</si>
  <si>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</si>
  <si>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</si>
  <si>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</si>
  <si>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</si>
  <si>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</si>
  <si>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</si>
  <si>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</si>
  <si>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</si>
  <si>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</si>
  <si>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</si>
  <si>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</si>
  <si>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</si>
  <si>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</si>
  <si>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</si>
  <si>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</si>
  <si>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</si>
  <si>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</si>
  <si>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</si>
  <si>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</si>
  <si>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</si>
  <si>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</si>
  <si>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</si>
  <si>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</si>
  <si>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</si>
  <si>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</si>
  <si>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</si>
  <si>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</si>
  <si>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</si>
  <si>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</si>
  <si>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</si>
  <si>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</si>
  <si>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</si>
  <si>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</si>
  <si>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</si>
  <si>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</si>
  <si>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</si>
  <si>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</si>
  <si>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</si>
  <si>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</si>
  <si>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</si>
  <si>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</si>
  <si>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</si>
  <si>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</si>
  <si>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</si>
  <si>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</si>
  <si>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</si>
  <si>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</si>
  <si>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</si>
  <si>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</si>
  <si>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</si>
  <si>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</si>
  <si>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</si>
  <si>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</si>
  <si>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</si>
  <si>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</si>
  <si>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</si>
  <si>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</si>
  <si>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</si>
  <si>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</si>
  <si>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</si>
  <si>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</si>
  <si>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</si>
  <si>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</si>
  <si>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</si>
  <si>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</si>
  <si>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</si>
  <si>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</si>
  <si>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</si>
  <si>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</si>
  <si>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</si>
  <si>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</si>
  <si>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</si>
  <si>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</si>
  <si>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</si>
  <si>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</si>
  <si>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</si>
  <si>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</si>
  <si>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</si>
  <si>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</si>
  <si>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</si>
  <si>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</si>
  <si>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</si>
  <si>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</si>
  <si>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</si>
  <si>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</si>
  <si>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</si>
  <si>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</si>
  <si>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</si>
  <si>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</si>
  <si>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</si>
  <si>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</si>
  <si>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</si>
  <si>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</si>
  <si>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</si>
  <si>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</si>
  <si>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</si>
  <si>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</si>
  <si>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</si>
  <si>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</si>
  <si>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</si>
  <si>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</si>
  <si>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</si>
  <si>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</si>
  <si>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</si>
  <si>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</si>
  <si>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</si>
  <si>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</si>
  <si>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</si>
  <si>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</si>
  <si>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</si>
  <si>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</si>
  <si>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</si>
  <si>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</si>
  <si>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</si>
  <si>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</si>
  <si>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</si>
  <si>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</si>
  <si>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</si>
  <si>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</si>
  <si>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</si>
  <si>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</si>
  <si>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</si>
  <si>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</si>
  <si>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</si>
  <si>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</si>
  <si>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</si>
  <si>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</si>
  <si>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</si>
  <si>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</si>
  <si>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</si>
  <si>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</si>
  <si>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</si>
  <si>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</si>
  <si>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</si>
  <si>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</si>
  <si>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</si>
  <si>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</si>
  <si>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</si>
  <si>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</si>
  <si>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</si>
  <si>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</si>
  <si>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</si>
  <si>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</si>
  <si>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</si>
  <si>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</si>
  <si>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</si>
  <si>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</si>
  <si>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</si>
  <si>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</si>
  <si>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</si>
  <si>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</si>
  <si>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</si>
  <si>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</si>
  <si>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</si>
  <si>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</si>
  <si>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</si>
  <si>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</si>
  <si>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</si>
  <si>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</si>
  <si>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</si>
  <si>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</si>
  <si>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</si>
  <si>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</si>
  <si>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</si>
  <si>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</si>
  <si>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</si>
  <si>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</si>
  <si>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</si>
  <si>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</si>
  <si>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</si>
  <si>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</si>
  <si>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</si>
  <si>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</si>
  <si>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</si>
  <si>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</si>
  <si>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</si>
  <si>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</si>
  <si>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</si>
  <si>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</si>
  <si>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</si>
  <si>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</si>
  <si>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</si>
  <si>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</si>
  <si>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</si>
  <si>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</si>
  <si>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</si>
  <si>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</si>
  <si>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</si>
  <si>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</si>
  <si>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</si>
  <si>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</si>
  <si>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</si>
  <si>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</si>
  <si>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</si>
  <si>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</si>
  <si>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</si>
  <si>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</si>
  <si>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</si>
  <si>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</si>
  <si>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</si>
  <si>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</si>
  <si>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</si>
  <si>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</si>
  <si>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</si>
  <si>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</si>
  <si>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</si>
  <si>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</si>
  <si>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</si>
  <si>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</si>
  <si>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</si>
  <si>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</si>
  <si>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</si>
  <si>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</si>
  <si>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</si>
  <si>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</si>
  <si>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</si>
  <si>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</si>
  <si>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</si>
  <si>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</si>
  <si>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</si>
  <si>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</si>
  <si>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</si>
  <si>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</si>
  <si>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</si>
  <si>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</si>
  <si>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</si>
  <si>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</si>
  <si>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</si>
  <si>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</si>
  <si>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</si>
  <si>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</si>
  <si>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</si>
  <si>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</si>
  <si>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</si>
  <si>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</si>
  <si>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</si>
  <si>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</si>
  <si>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</si>
  <si>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</si>
  <si>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</si>
  <si>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</si>
  <si>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</si>
  <si>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</si>
  <si>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</si>
  <si>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</si>
  <si>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</si>
  <si>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</si>
  <si>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</si>
  <si>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</si>
  <si>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</si>
  <si>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</si>
  <si>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</si>
  <si>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</si>
  <si>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</si>
  <si>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</si>
  <si>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</si>
  <si>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</si>
  <si>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</si>
  <si>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</si>
  <si>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</si>
  <si>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</si>
  <si>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</si>
  <si>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</si>
  <si>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</si>
  <si>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</si>
  <si>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</si>
  <si>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</si>
  <si>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</si>
  <si>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</si>
  <si>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</si>
  <si>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</si>
  <si>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</si>
  <si>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</si>
  <si>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</si>
  <si>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</si>
  <si>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</si>
  <si>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</si>
  <si>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</si>
  <si>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</si>
  <si>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</si>
  <si>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</si>
  <si>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</si>
  <si>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</si>
  <si>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</si>
  <si>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</si>
  <si>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</si>
  <si>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</si>
  <si>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</si>
  <si>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</si>
  <si>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</si>
  <si>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</si>
  <si>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</si>
  <si>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</si>
  <si>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</si>
  <si>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</si>
  <si>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</si>
  <si>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</si>
  <si>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</si>
  <si>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</si>
  <si>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</si>
  <si>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</si>
  <si>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</si>
  <si>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</si>
  <si>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</si>
  <si>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</si>
  <si>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</si>
  <si>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</si>
  <si>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</si>
  <si>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</si>
  <si>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</si>
  <si>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</si>
  <si>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</si>
  <si>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</si>
  <si>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</si>
  <si>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</si>
  <si>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</si>
  <si>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</si>
  <si>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</si>
  <si>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</si>
  <si>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</si>
  <si>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</si>
  <si>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</si>
  <si>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</si>
  <si>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</si>
  <si>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</si>
  <si>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</si>
  <si>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</si>
  <si>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</si>
  <si>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</si>
  <si>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</si>
  <si>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</si>
  <si>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</si>
  <si>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</si>
  <si>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</si>
  <si>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</si>
  <si>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</si>
  <si>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</si>
  <si>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</si>
  <si>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</si>
  <si>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</si>
  <si>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</si>
  <si>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</si>
  <si>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</si>
  <si>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</si>
  <si>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</si>
  <si>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</si>
  <si>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</si>
  <si>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</si>
  <si>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</si>
  <si>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</si>
  <si>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</si>
  <si>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</si>
  <si>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</si>
  <si>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</si>
  <si>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</si>
  <si>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</si>
  <si>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</si>
  <si>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</si>
  <si>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</si>
  <si>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</si>
  <si>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</si>
  <si>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</si>
  <si>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</si>
  <si>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</si>
  <si>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Created backup: IncOut_MassProcess_20260306_223437.xlsm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</si>
  <si>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</si>
  <si>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</si>
  <si>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</si>
  <si>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</si>
  <si>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</si>
  <si>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</si>
  <si>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</si>
  <si>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</si>
  <si>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</si>
  <si>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</si>
  <si>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</si>
  <si>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</si>
  <si>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</si>
  <si>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</si>
  <si>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</si>
  <si>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</si>
  <si>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Created backup: IncOut_ClearMarks_20260307_223338.xlsm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</si>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</sst>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28"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T44" totalsRowShown="0" headerRowDxfId="27" dataDxfId="25" headerRowBorderDxfId="26" tableBorderDxfId="24" totalsRowBorderDxfId="23">
  <autoFilter ref="A1:T44" xr:uid="{8FC333FD-63F0-4E9F-8CC6-93898C581D70}"/>
  <tableColumns count="20">
    <tableColumn id="1" xr3:uid="{0A0BECDC-9AA9-45A9-93C5-A71027738DF1}" name="№ П/П" dataDxfId="22"/>
    <tableColumn id="2" xr3:uid="{7D3AF814-5A71-4C3F-BC3F-BBAF8DEEE2E7}" name="Служба" dataDxfId="21"/>
    <tableColumn id="3" xr3:uid="{365555A8-3665-4DEF-B987-52EF345766E1}" name="ТипДокумента" dataDxfId="20"/>
    <tableColumn id="4" xr3:uid="{53435FF3-B8A9-456D-AF80-FFDC3DAAE625}" name="Вид документа" dataDxfId="19"/>
    <tableColumn id="5" xr3:uid="{818D1262-D680-438D-9FF8-924BA7C94EBC}" name="НомерДокумента" dataDxfId="18"/>
    <tableColumn id="6" xr3:uid="{869ADC8B-513C-42DC-9125-8E28CE5D003A}" name="Сумма документа" dataDxfId="17"/>
    <tableColumn id="7" xr3:uid="{9A8BA24E-DD64-491D-A534-DA7AC273AC53}" name="Вх.ФРП_x000a_Исх.ФРП" dataDxfId="16"/>
    <tableColumn id="8" xr3:uid="{D689A096-72DB-479D-A1C3-83B1A6E07749}" name="ДатаВх. ФРП_x000a_ДатаИсх. ФРП" dataDxfId="15"/>
    <tableColumn id="9" xr3:uid="{8F317CDC-63AB-4AFA-9783-525361163DBB}" name="От кого поступил (куда направлен)" dataDxfId="14"/>
    <tableColumn id="10" xr3:uid="{0C8FEDCC-833A-4421-A114-D556AD7C01F4}" name="ДатаПередачиИсполнителю" dataDxfId="13"/>
    <tableColumn id="11" xr3:uid="{2FED1E3D-C0CD-4C17-BB2F-7E74DBEF5294}" name="Исполнитель" dataDxfId="12"/>
    <tableColumn id="12" xr3:uid="{8FCD9A91-4B1E-4E29-A876-CCF80E72A90B}" name="НомерИсхВСлужбу" dataDxfId="11"/>
    <tableColumn id="13" xr3:uid="{4F11E080-1F05-4B76-AACC-F4A383AE060D}" name="ДатаИсхВСлужбу" dataDxfId="10"/>
    <tableColumn id="14" xr3:uid="{FF9857D9-4E85-402C-86D7-88B37F3ACA1D}" name="Номер возвратаСоСлужбы" dataDxfId="9"/>
    <tableColumn id="15" xr3:uid="{52BFD158-EA44-434B-AA42-01E0C3D4A7E9}" name="Дата возвратаСоСлужбы" dataDxfId="8"/>
    <tableColumn id="16" xr3:uid="{686ECA96-0F1B-4B29-BC39-092A4499DEB4}" name="НомерИсхКонверт/НомерВхКонверт" dataDxfId="7"/>
    <tableColumn id="17" xr3:uid="{D990D222-9B31-4107-BF15-587101F720C5}" name="ДатаИсхКонверт/ДатаВхКонверт" dataDxfId="6"/>
    <tableColumn id="18" xr3:uid="{8840F3E8-146B-4C66-BFDC-7BD58E7D906B}" name="Отметка об исполнении (номер документа в 1С)" dataDxfId="5"/>
    <tableColumn id="19" xr3:uid="{682814E1-D1D5-4AF0-821D-64A2A90ED13A}" name="СтатусПодтверждения" dataDxfId="4"/>
    <tableColumn id="20" xr3:uid="{AA21424A-3A1E-466C-B04B-7530BBA979B4}" name="Наряд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1"/>
    <tableColumn id="2" xr3:uid="{B6162665-D14D-4F72-98A2-A9727EC4F71F}" name="RussianText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3" t="s">
        <v>51</v>
      </c>
      <c r="B1" s="93"/>
      <c r="C1" s="93"/>
      <c r="D1" s="93"/>
      <c r="E1" s="93"/>
      <c r="F1" s="93"/>
      <c r="G1" s="93"/>
      <c r="H1" s="93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46089</v>
      </c>
    </row>
    <row r="19" spans="1:5" x14ac:dyDescent="0.25">
      <c r="A19" s="11" t="s">
        <v>57</v>
      </c>
      <c r="B19" s="12">
        <f ca="1">TODAY()</f>
        <v>46119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46119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46089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9" t="s">
        <v>140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P1" s="95" t="s">
        <v>177</v>
      </c>
      <c r="Q1" s="95"/>
      <c r="R1" s="95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46089 - 46119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7" t="s">
        <v>144</v>
      </c>
      <c r="B5" s="107"/>
      <c r="C5" s="107"/>
      <c r="E5" s="110" t="s">
        <v>146</v>
      </c>
      <c r="F5" s="110"/>
      <c r="G5" s="110"/>
      <c r="I5" s="101" t="s">
        <v>148</v>
      </c>
      <c r="J5" s="101"/>
      <c r="K5" s="101"/>
      <c r="M5" s="104" t="s">
        <v>150</v>
      </c>
      <c r="N5" s="104"/>
      <c r="O5" s="104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8">
        <v>19</v>
      </c>
      <c r="B6" s="108"/>
      <c r="C6" s="108"/>
      <c r="E6" s="111">
        <v>6</v>
      </c>
      <c r="F6" s="111"/>
      <c r="G6" s="111"/>
      <c r="I6" s="102">
        <v>0</v>
      </c>
      <c r="J6" s="102"/>
      <c r="K6" s="102"/>
      <c r="M6" s="105">
        <v>8</v>
      </c>
      <c r="N6" s="105"/>
      <c r="O6" s="105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9" t="s">
        <v>145</v>
      </c>
      <c r="B7" s="109"/>
      <c r="C7" s="109"/>
      <c r="E7" s="112" t="s">
        <v>147</v>
      </c>
      <c r="F7" s="112"/>
      <c r="G7" s="112"/>
      <c r="I7" s="103" t="s">
        <v>149</v>
      </c>
      <c r="J7" s="103"/>
      <c r="K7" s="103"/>
      <c r="M7" s="106" t="s">
        <v>151</v>
      </c>
      <c r="N7" s="106"/>
      <c r="O7" s="106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0">
        <v>0.47368421052631576</v>
      </c>
      <c r="F8" s="100"/>
      <c r="G8" s="100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6" t="s">
        <v>152</v>
      </c>
      <c r="B10" s="96"/>
      <c r="C10" s="96"/>
      <c r="D10" s="96"/>
      <c r="E10" s="96"/>
      <c r="F10" s="96"/>
      <c r="G10" s="96"/>
      <c r="I10" s="96" t="s">
        <v>155</v>
      </c>
      <c r="J10" s="96"/>
      <c r="K10" s="96"/>
      <c r="L10" s="96"/>
      <c r="M10" s="96"/>
      <c r="N10" s="96"/>
      <c r="O10" s="96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7" t="s">
        <v>158</v>
      </c>
      <c r="B27" s="97"/>
      <c r="C27" s="97"/>
      <c r="D27" s="97"/>
      <c r="E27" s="97"/>
      <c r="F27" s="97"/>
      <c r="H27" s="98" t="s">
        <v>160</v>
      </c>
      <c r="I27" s="98"/>
      <c r="J27" s="98"/>
      <c r="K27" s="98"/>
      <c r="L27" s="98"/>
      <c r="M27" s="98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9" t="s">
        <v>161</v>
      </c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9" t="s">
        <v>164</v>
      </c>
      <c r="B47" s="99"/>
      <c r="C47" s="99"/>
      <c r="D47" s="99"/>
      <c r="E47" s="99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13.541365351016633</v>
      </c>
      <c r="C49" s="57">
        <f t="shared" ref="C49:C55" ca="1" si="1">B49*0.8</f>
        <v>10.833092280813307</v>
      </c>
      <c r="D49" s="58">
        <f t="shared" ref="D49:D55" ca="1" si="2">RAND()*5+2</f>
        <v>2.1620852574148053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10.132650539944915</v>
      </c>
      <c r="C50" s="57">
        <f t="shared" ca="1" si="1"/>
        <v>8.106120431955933</v>
      </c>
      <c r="D50" s="58">
        <f t="shared" ca="1" si="2"/>
        <v>3.5534364924259658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12.720503191619297</v>
      </c>
      <c r="C51" s="57">
        <f t="shared" ca="1" si="1"/>
        <v>10.176402553295439</v>
      </c>
      <c r="D51" s="58">
        <f t="shared" ca="1" si="2"/>
        <v>6.6058421505779599</v>
      </c>
      <c r="E51" s="56">
        <f t="shared" ca="1" si="3"/>
        <v>0.80000000000000016</v>
      </c>
    </row>
    <row r="52" spans="1:5" ht="15" customHeight="1" x14ac:dyDescent="0.25">
      <c r="A52" s="40" t="s">
        <v>173</v>
      </c>
      <c r="B52" s="57">
        <f t="shared" ca="1" si="0"/>
        <v>9.4323147666482861</v>
      </c>
      <c r="C52" s="57">
        <f t="shared" ca="1" si="1"/>
        <v>7.5458518133186292</v>
      </c>
      <c r="D52" s="58">
        <f t="shared" ca="1" si="2"/>
        <v>5.6825539259265812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14.996412887453587</v>
      </c>
      <c r="C53" s="57">
        <f t="shared" ca="1" si="1"/>
        <v>11.99713030996287</v>
      </c>
      <c r="D53" s="58">
        <f t="shared" ca="1" si="2"/>
        <v>5.9850794961981073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12.250531300431529</v>
      </c>
      <c r="C54" s="57">
        <f t="shared" ca="1" si="1"/>
        <v>9.8004250403452247</v>
      </c>
      <c r="D54" s="58">
        <f t="shared" ca="1" si="2"/>
        <v>6.8971113527502794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6.710227531020184</v>
      </c>
      <c r="C55" s="57">
        <f t="shared" ca="1" si="1"/>
        <v>5.3681820248161474</v>
      </c>
      <c r="D55" s="58">
        <f t="shared" ca="1" si="2"/>
        <v>2.2392990859735384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T44"/>
  <sheetViews>
    <sheetView tabSelected="1" view="pageBreakPreview" topLeftCell="A10" zoomScale="110" zoomScaleNormal="100" zoomScaleSheetLayoutView="110" workbookViewId="0">
      <selection activeCell="N16" sqref="N16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20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</row>
    <row r="2" spans="1:20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</row>
    <row r="3" spans="1:20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</row>
    <row r="4" spans="1:20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</row>
    <row r="5" spans="1:20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</row>
    <row r="6" spans="1:20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</row>
    <row r="7" spans="1:20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</row>
    <row r="8" spans="1:20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</row>
    <row r="9" spans="1:20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</row>
    <row r="10" spans="1:20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</row>
    <row r="11" spans="1:20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</row>
    <row r="12" spans="1:20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</row>
    <row r="13" spans="1:20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</row>
    <row r="14" spans="1:20" ht="15.75" x14ac:dyDescent="0.25">
      <c r="A14" s="6">
        <v>13</v>
      </c>
      <c r="B14" s="5" t="s">
        <v>1407</v>
      </c>
      <c r="C14" s="5" t="s">
        <v>468</v>
      </c>
      <c r="D14" s="5" t="s">
        <v>1408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1409</v>
      </c>
      <c r="L14" s="5"/>
      <c r="M14" s="7"/>
      <c r="N14" s="5"/>
      <c r="O14" s="7"/>
      <c r="P14" s="5"/>
      <c r="Q14" s="7"/>
      <c r="R14" s="5"/>
      <c r="S14" s="5"/>
      <c r="T14" s="5"/>
    </row>
    <row r="15" spans="1:20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</row>
    <row r="16" spans="1:20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</row>
    <row r="17" spans="1:20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</row>
    <row r="18" spans="1:20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</row>
    <row r="19" spans="1:20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</row>
    <row r="20" spans="1:20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</row>
    <row r="21" spans="1:20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</row>
    <row r="22" spans="1:20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</row>
    <row r="23" spans="1:20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</row>
    <row r="24" spans="1:20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</row>
    <row r="25" spans="1:20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</row>
    <row r="26" spans="1:20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</row>
    <row r="27" spans="1:20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</row>
    <row r="28" spans="1:20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</row>
    <row r="29" spans="1:20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</row>
    <row r="30" spans="1:20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</row>
    <row r="31" spans="1:20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</row>
    <row r="32" spans="1:20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</row>
    <row r="33" spans="1:20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</row>
    <row r="34" spans="1:20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</row>
    <row r="35" spans="1:20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</row>
    <row r="36" spans="1:20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</row>
    <row r="37" spans="1:20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</row>
    <row r="38" spans="1:20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</row>
    <row r="39" spans="1:20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</row>
    <row r="40" spans="1:20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</row>
    <row r="41" spans="1:20" ht="15.75" x14ac:dyDescent="0.25">
      <c r="A41" s="8">
        <v>40</v>
      </c>
      <c r="B41" s="5" t="s">
        <v>1410</v>
      </c>
      <c r="C41" s="8" t="s">
        <v>468</v>
      </c>
      <c r="D41" s="5" t="s">
        <v>1411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1409</v>
      </c>
      <c r="L41" s="3"/>
      <c r="M41" s="75"/>
      <c r="N41" s="75"/>
      <c r="O41" s="85"/>
      <c r="P41" s="75"/>
      <c r="Q41" s="77"/>
      <c r="R41" s="77"/>
      <c r="S41" s="76"/>
      <c r="T41" s="75"/>
    </row>
    <row r="42" spans="1:20" ht="15.75" x14ac:dyDescent="0.25">
      <c r="A42" s="8">
        <v>41</v>
      </c>
      <c r="B42" s="10" t="s">
        <v>1412</v>
      </c>
      <c r="C42" s="8" t="s">
        <v>469</v>
      </c>
      <c r="D42" s="6" t="s">
        <v>1411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1413</v>
      </c>
      <c r="L42" s="8"/>
      <c r="M42" s="5"/>
      <c r="N42" s="8"/>
      <c r="O42" s="89"/>
      <c r="P42" s="6"/>
      <c r="Q42" s="8"/>
      <c r="R42" s="10"/>
      <c r="S42" s="8"/>
      <c r="T42" s="6"/>
    </row>
    <row r="43" spans="1:20" ht="15.75" x14ac:dyDescent="0.25">
      <c r="A43" s="8">
        <v>42</v>
      </c>
      <c r="B43" s="10" t="s">
        <v>1414</v>
      </c>
      <c r="C43" s="8" t="s">
        <v>468</v>
      </c>
      <c r="D43" s="6" t="s">
        <v>1411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1409</v>
      </c>
      <c r="L43" s="8"/>
      <c r="M43" s="5"/>
      <c r="N43" s="8"/>
      <c r="O43" s="89"/>
      <c r="P43" s="6"/>
      <c r="Q43" s="8"/>
      <c r="R43" s="10"/>
      <c r="S43" s="8"/>
      <c r="T43" s="6"/>
    </row>
    <row r="44" spans="1:20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1418</v>
      </c>
      <c r="L44" s="8"/>
      <c r="M44" s="5"/>
      <c r="N44" s="8"/>
      <c r="O44" s="89"/>
      <c r="P44" s="6"/>
      <c r="Q44" s="8"/>
      <c r="R44" s="10"/>
      <c r="S44" s="8"/>
      <c r="T44" s="6"/>
    </row>
  </sheetData>
  <phoneticPr fontId="20" type="noConversion"/>
  <pageMargins left="0.7" right="0.7" top="0.75" bottom="0.75" header="0.3" footer="0.3"/>
  <pageSetup paperSize="9" scale="48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1415</v>
      </c>
      <c r="C1" s="90" t="s">
        <v>1416</v>
      </c>
      <c r="E1" s="90" t="s">
        <v>1417</v>
      </c>
      <c r="H1" t="s">
        <v>1387</v>
      </c>
      <c r="I1" t="s">
        <v>1388</v>
      </c>
    </row>
    <row r="2" spans="1:9" x14ac:dyDescent="0.25">
      <c r="A2" t="s">
        <v>15</v>
      </c>
      <c r="C2" t="s">
        <v>17</v>
      </c>
      <c r="E2" t="s">
        <v>18</v>
      </c>
      <c r="H2" t="s">
        <v>1389</v>
      </c>
      <c r="I2" t="s">
        <v>1390</v>
      </c>
    </row>
    <row r="3" spans="1:9" x14ac:dyDescent="0.25">
      <c r="A3" t="s">
        <v>16</v>
      </c>
      <c r="C3" t="s">
        <v>47</v>
      </c>
      <c r="E3" t="s">
        <v>19</v>
      </c>
      <c r="H3" t="s">
        <v>1391</v>
      </c>
      <c r="I3" t="s">
        <v>1392</v>
      </c>
    </row>
    <row r="4" spans="1:9" x14ac:dyDescent="0.25">
      <c r="A4" t="s">
        <v>28</v>
      </c>
      <c r="C4" t="s">
        <v>37</v>
      </c>
      <c r="H4" t="s">
        <v>1393</v>
      </c>
      <c r="I4" t="s">
        <v>1394</v>
      </c>
    </row>
    <row r="5" spans="1:9" x14ac:dyDescent="0.25">
      <c r="A5" t="s">
        <v>38</v>
      </c>
      <c r="H5" t="s">
        <v>1395</v>
      </c>
      <c r="I5" t="s">
        <v>1396</v>
      </c>
    </row>
    <row r="6" spans="1:9" x14ac:dyDescent="0.25">
      <c r="A6" t="s">
        <v>27</v>
      </c>
      <c r="H6" t="s">
        <v>1397</v>
      </c>
      <c r="I6" t="s">
        <v>1398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35</v>
      </c>
    </row>
    <row r="2" spans="1:2" x14ac:dyDescent="0.25">
      <c r="A2" t="s">
        <v>24</v>
      </c>
      <c r="B2">
        <v>89.25</v>
      </c>
    </row>
    <row r="3" spans="1:2" x14ac:dyDescent="0.25">
      <c r="A3" t="s">
        <v>25</v>
      </c>
      <c r="B3">
        <v>265.5</v>
      </c>
    </row>
    <row r="4" spans="1:2" x14ac:dyDescent="0.25">
      <c r="A4" t="s">
        <v>26</v>
      </c>
      <c r="B4" s="4">
        <v>46119.897106481483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1419</v>
      </c>
      <c r="B598" s="83" t="s">
        <v>1420</v>
      </c>
    </row>
    <row r="599" spans="1:2" x14ac:dyDescent="0.25">
      <c r="A599" s="83" t="s">
        <v>1421</v>
      </c>
      <c r="B599" s="83" t="s">
        <v>1422</v>
      </c>
    </row>
    <row r="600" spans="1:2" x14ac:dyDescent="0.25">
      <c r="A600" s="83" t="s">
        <v>1423</v>
      </c>
      <c r="B600" s="83" t="s">
        <v>1424</v>
      </c>
    </row>
    <row r="601" spans="1:2" x14ac:dyDescent="0.25">
      <c r="A601" s="83" t="s">
        <v>1426</v>
      </c>
      <c r="B601" s="83" t="s">
        <v>1425</v>
      </c>
    </row>
    <row r="602" spans="1:2" x14ac:dyDescent="0.25">
      <c r="A602" s="83" t="s">
        <v>1427</v>
      </c>
      <c r="B602" s="83" t="s">
        <v>1428</v>
      </c>
    </row>
    <row r="603" spans="1:2" x14ac:dyDescent="0.25">
      <c r="A603" s="83" t="s">
        <v>1429</v>
      </c>
      <c r="B603" s="83" t="s">
        <v>1430</v>
      </c>
    </row>
    <row r="604" spans="1:2" x14ac:dyDescent="0.25">
      <c r="A604" s="83" t="s">
        <v>1431</v>
      </c>
      <c r="B604" s="83" t="s">
        <v>1432</v>
      </c>
    </row>
    <row r="605" spans="1:2" x14ac:dyDescent="0.25">
      <c r="A605" s="83" t="s">
        <v>1433</v>
      </c>
      <c r="B605" s="83" t="s">
        <v>1434</v>
      </c>
    </row>
  </sheetData>
  <conditionalFormatting sqref="A1 A184:A1048576">
    <cfRule type="duplicateValues" dxfId="2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99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80">
        <v>46086.045972222222</v>
      </c>
      <c r="B2" s="81" t="s">
        <v>228</v>
      </c>
      <c r="C2" s="81" t="s">
        <v>244</v>
      </c>
      <c r="D2" s="81" t="s">
        <v>229</v>
      </c>
      <c r="E2" s="81">
        <v>0</v>
      </c>
      <c r="F2" s="81" t="s">
        <v>237</v>
      </c>
    </row>
    <row r="3" spans="1:6" x14ac:dyDescent="0.25">
      <c r="A3" s="80">
        <v>46086.897719907407</v>
      </c>
      <c r="B3" s="81" t="s">
        <v>228</v>
      </c>
      <c r="C3" s="81" t="s">
        <v>244</v>
      </c>
      <c r="D3" s="81" t="s">
        <v>229</v>
      </c>
      <c r="E3" s="81">
        <v>0</v>
      </c>
      <c r="F3" s="81" t="s">
        <v>237</v>
      </c>
    </row>
    <row r="4" spans="1:6" x14ac:dyDescent="0.25">
      <c r="A4" s="80">
        <v>46087.939120370371</v>
      </c>
      <c r="B4" s="81" t="s">
        <v>228</v>
      </c>
      <c r="C4" s="81" t="s">
        <v>1320</v>
      </c>
      <c r="D4" s="81" t="s">
        <v>229</v>
      </c>
      <c r="E4" s="81">
        <v>0</v>
      </c>
      <c r="F4" s="81" t="s">
        <v>237</v>
      </c>
    </row>
    <row r="5" spans="1:6" x14ac:dyDescent="0.25">
      <c r="A5" s="4">
        <v>46087.940520833334</v>
      </c>
      <c r="B5" t="s">
        <v>236</v>
      </c>
      <c r="C5" t="s">
        <v>1169</v>
      </c>
      <c r="D5" t="s">
        <v>226</v>
      </c>
      <c r="E5">
        <v>0</v>
      </c>
      <c r="F5" t="s">
        <v>237</v>
      </c>
    </row>
    <row r="6" spans="1:6" x14ac:dyDescent="0.25">
      <c r="A6" s="4">
        <v>46087.940601851849</v>
      </c>
      <c r="B6" t="s">
        <v>1383</v>
      </c>
      <c r="C6" t="s">
        <v>1163</v>
      </c>
      <c r="D6" t="s">
        <v>226</v>
      </c>
      <c r="E6">
        <v>0</v>
      </c>
      <c r="F6" t="s">
        <v>237</v>
      </c>
    </row>
    <row r="7" spans="1:6" x14ac:dyDescent="0.25">
      <c r="A7" s="78">
        <v>46087.940706018519</v>
      </c>
      <c r="B7" s="79" t="s">
        <v>233</v>
      </c>
      <c r="C7" s="79" t="s">
        <v>1115</v>
      </c>
      <c r="D7" s="79" t="s">
        <v>227</v>
      </c>
      <c r="E7" s="79">
        <v>81277.42</v>
      </c>
      <c r="F7" s="79" t="s">
        <v>237</v>
      </c>
    </row>
    <row r="8" spans="1:6" x14ac:dyDescent="0.25">
      <c r="A8" s="80">
        <v>46087.940706018519</v>
      </c>
      <c r="B8" s="81" t="s">
        <v>234</v>
      </c>
      <c r="C8" s="81" t="s">
        <v>1384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46087.940752314818</v>
      </c>
      <c r="B9" s="81" t="s">
        <v>233</v>
      </c>
      <c r="C9" s="81" t="s">
        <v>235</v>
      </c>
      <c r="D9" s="81" t="s">
        <v>229</v>
      </c>
      <c r="E9" s="81">
        <v>3.75</v>
      </c>
      <c r="F9" s="81" t="s">
        <v>237</v>
      </c>
    </row>
    <row r="10" spans="1:6" x14ac:dyDescent="0.25">
      <c r="A10" s="80">
        <v>46087.966319444444</v>
      </c>
      <c r="B10" s="81" t="s">
        <v>228</v>
      </c>
      <c r="C10" s="81" t="s">
        <v>1320</v>
      </c>
      <c r="D10" s="81" t="s">
        <v>229</v>
      </c>
      <c r="E10" s="81">
        <v>0</v>
      </c>
      <c r="F10" s="81" t="s">
        <v>237</v>
      </c>
    </row>
    <row r="11" spans="1:6" x14ac:dyDescent="0.25">
      <c r="A11" s="4">
        <v>46087.969444444447</v>
      </c>
      <c r="B11" t="s">
        <v>582</v>
      </c>
      <c r="C11" t="s">
        <v>1132</v>
      </c>
      <c r="D11" t="s">
        <v>226</v>
      </c>
      <c r="E11">
        <v>0</v>
      </c>
      <c r="F11" t="s">
        <v>237</v>
      </c>
    </row>
    <row r="12" spans="1:6" x14ac:dyDescent="0.25">
      <c r="A12" s="78">
        <v>46087.969490740739</v>
      </c>
      <c r="B12" s="79" t="s">
        <v>230</v>
      </c>
      <c r="C12" s="79" t="s">
        <v>231</v>
      </c>
      <c r="D12" s="79" t="s">
        <v>227</v>
      </c>
      <c r="E12" s="79">
        <v>83764.23</v>
      </c>
      <c r="F12" s="79" t="s">
        <v>237</v>
      </c>
    </row>
    <row r="13" spans="1:6" x14ac:dyDescent="0.25">
      <c r="A13" s="80">
        <v>46087.969502314816</v>
      </c>
      <c r="B13" s="81" t="s">
        <v>230</v>
      </c>
      <c r="C13" s="81" t="s">
        <v>232</v>
      </c>
      <c r="D13" s="81" t="s">
        <v>229</v>
      </c>
      <c r="E13" s="81">
        <v>1.68</v>
      </c>
      <c r="F13" s="81" t="s">
        <v>237</v>
      </c>
    </row>
    <row r="14" spans="1:6" x14ac:dyDescent="0.25">
      <c r="A14" s="80">
        <v>46088.021226851852</v>
      </c>
      <c r="B14" s="81" t="s">
        <v>228</v>
      </c>
      <c r="C14" s="81" t="s">
        <v>1320</v>
      </c>
      <c r="D14" s="81" t="s">
        <v>229</v>
      </c>
      <c r="E14" s="81">
        <v>0</v>
      </c>
      <c r="F14" s="81" t="s">
        <v>237</v>
      </c>
    </row>
    <row r="15" spans="1:6" x14ac:dyDescent="0.25">
      <c r="A15" s="80">
        <v>46088.849918981483</v>
      </c>
      <c r="B15" s="81" t="s">
        <v>228</v>
      </c>
      <c r="C15" s="81" t="s">
        <v>1320</v>
      </c>
      <c r="D15" s="81" t="s">
        <v>229</v>
      </c>
      <c r="E15" s="81">
        <v>0</v>
      </c>
      <c r="F15" s="81" t="s">
        <v>237</v>
      </c>
    </row>
    <row r="16" spans="1:6" x14ac:dyDescent="0.25">
      <c r="A16" s="80">
        <v>46088.856400462966</v>
      </c>
      <c r="B16" s="81" t="s">
        <v>228</v>
      </c>
      <c r="C16" s="81" t="s">
        <v>1320</v>
      </c>
      <c r="D16" s="81" t="s">
        <v>229</v>
      </c>
      <c r="E16" s="81">
        <v>0</v>
      </c>
      <c r="F16" s="81" t="s">
        <v>237</v>
      </c>
    </row>
    <row r="17" spans="1:6" x14ac:dyDescent="0.25">
      <c r="A17" s="4">
        <v>46088.866712962961</v>
      </c>
      <c r="B17" t="s">
        <v>1385</v>
      </c>
      <c r="C17" t="s">
        <v>1386</v>
      </c>
      <c r="D17" t="s">
        <v>226</v>
      </c>
      <c r="E17">
        <v>0</v>
      </c>
      <c r="F17" t="s">
        <v>237</v>
      </c>
    </row>
    <row r="18" spans="1:6" x14ac:dyDescent="0.25">
      <c r="A18" s="80">
        <v>46088.914490740739</v>
      </c>
      <c r="B18" s="81" t="s">
        <v>228</v>
      </c>
      <c r="C18" s="81" t="s">
        <v>1320</v>
      </c>
      <c r="D18" s="81" t="s">
        <v>229</v>
      </c>
      <c r="E18" s="81">
        <v>0</v>
      </c>
      <c r="F18" s="81" t="s">
        <v>237</v>
      </c>
    </row>
    <row r="19" spans="1:6" x14ac:dyDescent="0.25">
      <c r="A19" s="80">
        <v>46088.931620370371</v>
      </c>
      <c r="B19" s="81" t="s">
        <v>228</v>
      </c>
      <c r="C19" s="81" t="s">
        <v>1320</v>
      </c>
      <c r="D19" s="81" t="s">
        <v>229</v>
      </c>
      <c r="E19" s="81">
        <v>0</v>
      </c>
      <c r="F19" s="81" t="s">
        <v>237</v>
      </c>
    </row>
    <row r="20" spans="1:6" x14ac:dyDescent="0.25">
      <c r="A20" s="4">
        <v>46088.931956018518</v>
      </c>
      <c r="B20" t="s">
        <v>582</v>
      </c>
      <c r="C20" t="s">
        <v>1132</v>
      </c>
      <c r="D20" t="s">
        <v>226</v>
      </c>
      <c r="E20">
        <v>0</v>
      </c>
      <c r="F20" t="s">
        <v>237</v>
      </c>
    </row>
    <row r="21" spans="1:6" x14ac:dyDescent="0.25">
      <c r="A21" s="4">
        <v>46088.932002314818</v>
      </c>
      <c r="B21" t="s">
        <v>1385</v>
      </c>
      <c r="C21" t="s">
        <v>1386</v>
      </c>
      <c r="D21" t="s">
        <v>226</v>
      </c>
      <c r="E21">
        <v>0</v>
      </c>
      <c r="F21" t="s">
        <v>237</v>
      </c>
    </row>
    <row r="22" spans="1:6" x14ac:dyDescent="0.25">
      <c r="A22" s="4">
        <v>46088.932106481479</v>
      </c>
      <c r="B22" t="s">
        <v>1399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4">
        <v>46088.933287037034</v>
      </c>
      <c r="B23" t="s">
        <v>1399</v>
      </c>
      <c r="C23" t="s">
        <v>1165</v>
      </c>
      <c r="D23" t="s">
        <v>226</v>
      </c>
      <c r="E23">
        <v>0</v>
      </c>
      <c r="F23" t="s">
        <v>237</v>
      </c>
    </row>
    <row r="24" spans="1:6" x14ac:dyDescent="0.25">
      <c r="A24" s="4">
        <v>46088.933333333334</v>
      </c>
      <c r="B24" t="s">
        <v>1383</v>
      </c>
      <c r="C24" t="s">
        <v>1163</v>
      </c>
      <c r="D24" t="s">
        <v>226</v>
      </c>
      <c r="E24">
        <v>0</v>
      </c>
      <c r="F24" t="s">
        <v>237</v>
      </c>
    </row>
    <row r="25" spans="1:6" x14ac:dyDescent="0.25">
      <c r="A25" s="4">
        <v>46088.933634259258</v>
      </c>
      <c r="B25" t="s">
        <v>236</v>
      </c>
      <c r="C25" t="s">
        <v>1169</v>
      </c>
      <c r="D25" t="s">
        <v>226</v>
      </c>
      <c r="E25">
        <v>0</v>
      </c>
      <c r="F25" t="s">
        <v>237</v>
      </c>
    </row>
    <row r="26" spans="1:6" x14ac:dyDescent="0.25">
      <c r="A26" s="4">
        <v>46088.933715277781</v>
      </c>
      <c r="B26" t="s">
        <v>1400</v>
      </c>
      <c r="C26" t="s">
        <v>1167</v>
      </c>
      <c r="D26" t="s">
        <v>226</v>
      </c>
      <c r="E26">
        <v>0</v>
      </c>
      <c r="F26" t="s">
        <v>237</v>
      </c>
    </row>
    <row r="27" spans="1:6" x14ac:dyDescent="0.25">
      <c r="A27" s="4">
        <v>46088.933831018519</v>
      </c>
      <c r="B27" t="s">
        <v>1385</v>
      </c>
      <c r="C27" t="s">
        <v>1386</v>
      </c>
      <c r="D27" t="s">
        <v>226</v>
      </c>
      <c r="E27">
        <v>0</v>
      </c>
      <c r="F27" t="s">
        <v>237</v>
      </c>
    </row>
    <row r="28" spans="1:6" x14ac:dyDescent="0.25">
      <c r="A28" s="80">
        <v>46088.939525462964</v>
      </c>
      <c r="B28" s="81" t="s">
        <v>228</v>
      </c>
      <c r="C28" s="81" t="s">
        <v>1320</v>
      </c>
      <c r="D28" s="81" t="s">
        <v>229</v>
      </c>
      <c r="E28" s="81">
        <v>0</v>
      </c>
      <c r="F28" s="81" t="s">
        <v>237</v>
      </c>
    </row>
    <row r="29" spans="1:6" x14ac:dyDescent="0.25">
      <c r="A29" s="80">
        <v>46088.940023148149</v>
      </c>
      <c r="B29" s="81" t="s">
        <v>234</v>
      </c>
      <c r="C29" s="81" t="s">
        <v>1401</v>
      </c>
      <c r="D29" s="81" t="s">
        <v>229</v>
      </c>
      <c r="E29" s="81">
        <v>0</v>
      </c>
      <c r="F29" s="81" t="s">
        <v>237</v>
      </c>
    </row>
    <row r="30" spans="1:6" x14ac:dyDescent="0.25">
      <c r="A30" s="80">
        <v>46088.940115740741</v>
      </c>
      <c r="B30" s="81" t="s">
        <v>1402</v>
      </c>
      <c r="C30" s="81" t="s">
        <v>1138</v>
      </c>
      <c r="D30" s="81" t="s">
        <v>229</v>
      </c>
      <c r="E30" s="81">
        <v>0</v>
      </c>
      <c r="F30" s="81" t="s">
        <v>237</v>
      </c>
    </row>
    <row r="31" spans="1:6" x14ac:dyDescent="0.25">
      <c r="A31" s="80">
        <v>46088.940196759257</v>
      </c>
      <c r="B31" s="81" t="s">
        <v>234</v>
      </c>
      <c r="C31" s="81" t="s">
        <v>1403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46088.94021990741</v>
      </c>
      <c r="B32" s="81" t="s">
        <v>1402</v>
      </c>
      <c r="C32" s="81" t="s">
        <v>1138</v>
      </c>
      <c r="D32" s="81" t="s">
        <v>229</v>
      </c>
      <c r="E32" s="81">
        <v>0</v>
      </c>
      <c r="F32" s="81" t="s">
        <v>237</v>
      </c>
    </row>
    <row r="33" spans="1:6" x14ac:dyDescent="0.25">
      <c r="A33" s="80">
        <v>46088.940474537034</v>
      </c>
      <c r="B33" s="81" t="s">
        <v>228</v>
      </c>
      <c r="C33" s="81" t="s">
        <v>1320</v>
      </c>
      <c r="D33" s="81" t="s">
        <v>229</v>
      </c>
      <c r="E33" s="81">
        <v>0</v>
      </c>
      <c r="F33" s="81" t="s">
        <v>237</v>
      </c>
    </row>
    <row r="34" spans="1:6" x14ac:dyDescent="0.25">
      <c r="A34" s="80">
        <v>46088.940613425926</v>
      </c>
      <c r="B34" s="81" t="s">
        <v>234</v>
      </c>
      <c r="C34" s="81" t="s">
        <v>1404</v>
      </c>
      <c r="D34" s="81" t="s">
        <v>229</v>
      </c>
      <c r="E34" s="81">
        <v>0</v>
      </c>
      <c r="F34" s="81" t="s">
        <v>237</v>
      </c>
    </row>
    <row r="35" spans="1:6" x14ac:dyDescent="0.25">
      <c r="A35" s="80">
        <v>46088.940636574072</v>
      </c>
      <c r="B35" s="81" t="s">
        <v>1402</v>
      </c>
      <c r="C35" s="81" t="s">
        <v>1138</v>
      </c>
      <c r="D35" s="81" t="s">
        <v>229</v>
      </c>
      <c r="E35" s="81">
        <v>0</v>
      </c>
      <c r="F35" s="81" t="s">
        <v>237</v>
      </c>
    </row>
    <row r="36" spans="1:6" x14ac:dyDescent="0.25">
      <c r="A36" s="4">
        <v>46088.953784722224</v>
      </c>
      <c r="B36" t="s">
        <v>1385</v>
      </c>
      <c r="C36" t="s">
        <v>1386</v>
      </c>
      <c r="D36" t="s">
        <v>226</v>
      </c>
      <c r="E36">
        <v>0</v>
      </c>
      <c r="F36" t="s">
        <v>237</v>
      </c>
    </row>
    <row r="37" spans="1:6" x14ac:dyDescent="0.25">
      <c r="A37" s="4">
        <v>46088.953842592593</v>
      </c>
      <c r="B37" t="s">
        <v>1399</v>
      </c>
      <c r="C37" t="s">
        <v>1165</v>
      </c>
      <c r="D37" t="s">
        <v>226</v>
      </c>
      <c r="E37">
        <v>0</v>
      </c>
      <c r="F37" t="s">
        <v>237</v>
      </c>
    </row>
    <row r="38" spans="1:6" x14ac:dyDescent="0.25">
      <c r="A38" s="4">
        <v>46088.953958333332</v>
      </c>
      <c r="B38" t="s">
        <v>1383</v>
      </c>
      <c r="C38" t="s">
        <v>1163</v>
      </c>
      <c r="D38" t="s">
        <v>226</v>
      </c>
      <c r="E38">
        <v>0</v>
      </c>
      <c r="F38" t="s">
        <v>237</v>
      </c>
    </row>
    <row r="39" spans="1:6" x14ac:dyDescent="0.25">
      <c r="A39" s="4">
        <v>46088.957569444443</v>
      </c>
      <c r="B39" t="s">
        <v>1399</v>
      </c>
      <c r="C39" t="s">
        <v>1165</v>
      </c>
      <c r="D39" t="s">
        <v>226</v>
      </c>
      <c r="E39">
        <v>0</v>
      </c>
      <c r="F39" t="s">
        <v>237</v>
      </c>
    </row>
    <row r="40" spans="1:6" x14ac:dyDescent="0.25">
      <c r="A40" s="4">
        <v>46088.959398148145</v>
      </c>
      <c r="B40" t="s">
        <v>1399</v>
      </c>
      <c r="C40" t="s">
        <v>1165</v>
      </c>
      <c r="D40" t="s">
        <v>226</v>
      </c>
      <c r="E40">
        <v>0</v>
      </c>
      <c r="F40" t="s">
        <v>237</v>
      </c>
    </row>
    <row r="41" spans="1:6" x14ac:dyDescent="0.25">
      <c r="A41" s="4">
        <v>46088.960451388892</v>
      </c>
      <c r="B41" t="s">
        <v>1399</v>
      </c>
      <c r="C41" t="s">
        <v>1165</v>
      </c>
      <c r="D41" t="s">
        <v>226</v>
      </c>
      <c r="E41">
        <v>0</v>
      </c>
      <c r="F41" t="s">
        <v>237</v>
      </c>
    </row>
    <row r="42" spans="1:6" x14ac:dyDescent="0.25">
      <c r="A42" s="4">
        <v>46088.960543981484</v>
      </c>
      <c r="B42" t="s">
        <v>1399</v>
      </c>
      <c r="C42" t="s">
        <v>1165</v>
      </c>
      <c r="D42" t="s">
        <v>226</v>
      </c>
      <c r="E42">
        <v>0</v>
      </c>
      <c r="F42" t="s">
        <v>237</v>
      </c>
    </row>
    <row r="43" spans="1:6" x14ac:dyDescent="0.25">
      <c r="A43" s="4">
        <v>46088.961782407408</v>
      </c>
      <c r="B43" t="s">
        <v>1383</v>
      </c>
      <c r="C43" t="s">
        <v>1163</v>
      </c>
      <c r="D43" t="s">
        <v>226</v>
      </c>
      <c r="E43">
        <v>0</v>
      </c>
      <c r="F43" t="s">
        <v>237</v>
      </c>
    </row>
    <row r="44" spans="1:6" x14ac:dyDescent="0.25">
      <c r="A44" s="4">
        <v>46088.962824074071</v>
      </c>
      <c r="B44" t="s">
        <v>1399</v>
      </c>
      <c r="C44" t="s">
        <v>1165</v>
      </c>
      <c r="D44" t="s">
        <v>226</v>
      </c>
      <c r="E44">
        <v>0</v>
      </c>
      <c r="F44" t="s">
        <v>237</v>
      </c>
    </row>
    <row r="45" spans="1:6" x14ac:dyDescent="0.25">
      <c r="A45" s="80">
        <v>46089.048807870371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46089.048807870371</v>
      </c>
      <c r="B46" s="81" t="s">
        <v>1405</v>
      </c>
      <c r="C46" s="81" t="s">
        <v>1113</v>
      </c>
      <c r="D46" s="81" t="s">
        <v>229</v>
      </c>
      <c r="E46" s="81">
        <v>0</v>
      </c>
      <c r="F46" s="81" t="s">
        <v>237</v>
      </c>
    </row>
    <row r="47" spans="1:6" x14ac:dyDescent="0.25">
      <c r="A47" s="4">
        <v>46089.049699074072</v>
      </c>
      <c r="B47" t="s">
        <v>236</v>
      </c>
      <c r="C47" t="s">
        <v>1169</v>
      </c>
      <c r="D47" t="s">
        <v>226</v>
      </c>
      <c r="E47">
        <v>0</v>
      </c>
      <c r="F47" t="s">
        <v>237</v>
      </c>
    </row>
    <row r="48" spans="1:6" x14ac:dyDescent="0.25">
      <c r="A48" s="4">
        <v>46089.049861111111</v>
      </c>
      <c r="B48" t="s">
        <v>1400</v>
      </c>
      <c r="C48" t="s">
        <v>1167</v>
      </c>
      <c r="D48" t="s">
        <v>226</v>
      </c>
      <c r="E48">
        <v>0</v>
      </c>
      <c r="F48" t="s">
        <v>237</v>
      </c>
    </row>
    <row r="49" spans="1:6" x14ac:dyDescent="0.25">
      <c r="A49" s="4">
        <v>46089.049895833334</v>
      </c>
      <c r="B49" t="s">
        <v>1383</v>
      </c>
      <c r="C49" t="s">
        <v>1163</v>
      </c>
      <c r="D49" t="s">
        <v>226</v>
      </c>
      <c r="E49">
        <v>0</v>
      </c>
      <c r="F49" t="s">
        <v>237</v>
      </c>
    </row>
    <row r="50" spans="1:6" x14ac:dyDescent="0.25">
      <c r="A50" s="4">
        <v>46089.049930555557</v>
      </c>
      <c r="B50" t="s">
        <v>1399</v>
      </c>
      <c r="C50" t="s">
        <v>1165</v>
      </c>
      <c r="D50" t="s">
        <v>226</v>
      </c>
      <c r="E50">
        <v>0</v>
      </c>
      <c r="F50" t="s">
        <v>237</v>
      </c>
    </row>
    <row r="51" spans="1:6" x14ac:dyDescent="0.25">
      <c r="A51" s="4">
        <v>46089.050127314818</v>
      </c>
      <c r="B51" t="s">
        <v>582</v>
      </c>
      <c r="C51" t="s">
        <v>1132</v>
      </c>
      <c r="D51" t="s">
        <v>226</v>
      </c>
      <c r="E51">
        <v>0</v>
      </c>
      <c r="F51" t="s">
        <v>237</v>
      </c>
    </row>
    <row r="52" spans="1:6" x14ac:dyDescent="0.25">
      <c r="A52" s="78">
        <v>46089.050162037034</v>
      </c>
      <c r="B52" s="79" t="s">
        <v>233</v>
      </c>
      <c r="C52" s="79" t="s">
        <v>1115</v>
      </c>
      <c r="D52" s="79" t="s">
        <v>227</v>
      </c>
      <c r="E52" s="79">
        <v>4334.22</v>
      </c>
      <c r="F52" s="79" t="s">
        <v>237</v>
      </c>
    </row>
    <row r="53" spans="1:6" x14ac:dyDescent="0.25">
      <c r="A53" s="80">
        <v>46089.050162037034</v>
      </c>
      <c r="B53" s="81" t="s">
        <v>234</v>
      </c>
      <c r="C53" s="81" t="s">
        <v>1406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46089.050185185188</v>
      </c>
      <c r="B54" s="81" t="s">
        <v>233</v>
      </c>
      <c r="C54" s="81" t="s">
        <v>235</v>
      </c>
      <c r="D54" s="81" t="s">
        <v>229</v>
      </c>
      <c r="E54" s="81">
        <v>2.62</v>
      </c>
      <c r="F54" s="81" t="s">
        <v>237</v>
      </c>
    </row>
    <row r="55" spans="1:6" x14ac:dyDescent="0.25">
      <c r="A55" s="78">
        <v>46089.050196759257</v>
      </c>
      <c r="B55" s="79" t="s">
        <v>230</v>
      </c>
      <c r="C55" s="79" t="s">
        <v>231</v>
      </c>
      <c r="D55" s="79" t="s">
        <v>227</v>
      </c>
      <c r="E55" s="79">
        <v>4337.53</v>
      </c>
      <c r="F55" s="79" t="s">
        <v>237</v>
      </c>
    </row>
    <row r="56" spans="1:6" x14ac:dyDescent="0.25">
      <c r="A56" s="80">
        <v>46089.05023148148</v>
      </c>
      <c r="B56" s="81" t="s">
        <v>230</v>
      </c>
      <c r="C56" s="81" t="s">
        <v>232</v>
      </c>
      <c r="D56" s="81" t="s">
        <v>229</v>
      </c>
      <c r="E56" s="81">
        <v>2.54</v>
      </c>
      <c r="F56" s="81" t="s">
        <v>237</v>
      </c>
    </row>
    <row r="57" spans="1:6" x14ac:dyDescent="0.25">
      <c r="A57" s="80">
        <v>46089.050891203704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46089.050949074073</v>
      </c>
      <c r="B58" s="81" t="s">
        <v>1405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80">
        <v>46089.101180555554</v>
      </c>
      <c r="B59" s="81" t="s">
        <v>228</v>
      </c>
      <c r="C59" s="81" t="s">
        <v>1320</v>
      </c>
      <c r="D59" s="81" t="s">
        <v>229</v>
      </c>
      <c r="E59" s="81">
        <v>0</v>
      </c>
      <c r="F59" s="81" t="s">
        <v>237</v>
      </c>
    </row>
    <row r="60" spans="1:6" x14ac:dyDescent="0.25">
      <c r="A60" s="80">
        <v>46089.101180555554</v>
      </c>
      <c r="B60" s="81" t="s">
        <v>1405</v>
      </c>
      <c r="C60" s="81" t="s">
        <v>1113</v>
      </c>
      <c r="D60" s="81" t="s">
        <v>229</v>
      </c>
      <c r="E60" s="81">
        <v>0</v>
      </c>
      <c r="F60" s="81" t="s">
        <v>237</v>
      </c>
    </row>
    <row r="61" spans="1:6" x14ac:dyDescent="0.25">
      <c r="A61" s="80">
        <v>46089.102731481478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46089.102731481478</v>
      </c>
      <c r="B62" s="81" t="s">
        <v>1405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46092.938032407408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46092.938032407408</v>
      </c>
      <c r="B64" s="81" t="s">
        <v>1405</v>
      </c>
      <c r="C64" s="81" t="s">
        <v>1113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46092.949328703704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46092.949328703704</v>
      </c>
      <c r="B66" s="81" t="s">
        <v>1405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80">
        <v>46092.959398148145</v>
      </c>
      <c r="B67" s="81" t="s">
        <v>228</v>
      </c>
      <c r="C67" s="81" t="s">
        <v>1320</v>
      </c>
      <c r="D67" s="81" t="s">
        <v>229</v>
      </c>
      <c r="E67" s="81">
        <v>0</v>
      </c>
      <c r="F67" s="81" t="s">
        <v>237</v>
      </c>
    </row>
    <row r="68" spans="1:6" x14ac:dyDescent="0.25">
      <c r="A68" s="80">
        <v>46092.959814814814</v>
      </c>
      <c r="B68" s="81" t="s">
        <v>228</v>
      </c>
      <c r="C68" s="81" t="s">
        <v>1320</v>
      </c>
      <c r="D68" s="81" t="s">
        <v>229</v>
      </c>
      <c r="E68" s="81">
        <v>0</v>
      </c>
      <c r="F68" s="81" t="s">
        <v>237</v>
      </c>
    </row>
    <row r="69" spans="1:6" x14ac:dyDescent="0.25">
      <c r="A69" s="80">
        <v>46092.959814814814</v>
      </c>
      <c r="B69" s="81" t="s">
        <v>1405</v>
      </c>
      <c r="C69" s="81" t="s">
        <v>1113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46092.96503472222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46092.966956018521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46092.966956018521</v>
      </c>
      <c r="B72" s="81" t="s">
        <v>1405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46092.96733796296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46092.970543981479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46092.975671296299</v>
      </c>
      <c r="B75" s="81" t="s">
        <v>228</v>
      </c>
      <c r="C75" s="81" t="s">
        <v>1320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46092.994837962964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46117.959062499998</v>
      </c>
      <c r="B77" s="81" t="s">
        <v>228</v>
      </c>
      <c r="C77" s="81" t="s">
        <v>1320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46117.959467592591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46117.96292824074</v>
      </c>
      <c r="B79" s="81" t="s">
        <v>228</v>
      </c>
      <c r="C79" s="81" t="s">
        <v>1320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46117.96292824074</v>
      </c>
      <c r="B80" s="81" t="s">
        <v>1405</v>
      </c>
      <c r="C80" s="81" t="s">
        <v>1113</v>
      </c>
      <c r="D80" s="81" t="s">
        <v>229</v>
      </c>
      <c r="E80" s="81">
        <v>0</v>
      </c>
      <c r="F80" s="81" t="s">
        <v>237</v>
      </c>
    </row>
    <row r="81" spans="1:6" x14ac:dyDescent="0.25">
      <c r="A81" s="78">
        <v>46117.964942129627</v>
      </c>
      <c r="B81" s="79" t="s">
        <v>230</v>
      </c>
      <c r="C81" s="79" t="s">
        <v>231</v>
      </c>
      <c r="D81" s="79" t="s">
        <v>227</v>
      </c>
      <c r="E81" s="79">
        <v>83371.12</v>
      </c>
      <c r="F81" s="79" t="s">
        <v>237</v>
      </c>
    </row>
    <row r="82" spans="1:6" x14ac:dyDescent="0.25">
      <c r="A82" s="80">
        <v>46117.964988425927</v>
      </c>
      <c r="B82" s="81" t="s">
        <v>230</v>
      </c>
      <c r="C82" s="81" t="s">
        <v>232</v>
      </c>
      <c r="D82" s="81" t="s">
        <v>229</v>
      </c>
      <c r="E82" s="81">
        <v>4.22</v>
      </c>
      <c r="F82" s="81" t="s">
        <v>237</v>
      </c>
    </row>
    <row r="83" spans="1:6" x14ac:dyDescent="0.25">
      <c r="A83" s="80">
        <v>46117.968171296299</v>
      </c>
      <c r="B83" s="81" t="s">
        <v>228</v>
      </c>
      <c r="C83" s="81" t="s">
        <v>1320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46117.968171296299</v>
      </c>
      <c r="B84" s="81" t="s">
        <v>1405</v>
      </c>
      <c r="C84" s="81" t="s">
        <v>1113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46118.022685185184</v>
      </c>
      <c r="B85" s="81" t="s">
        <v>228</v>
      </c>
      <c r="C85" s="81" t="s">
        <v>1320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46118.024155092593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46118.024907407409</v>
      </c>
      <c r="B87" s="81" t="s">
        <v>228</v>
      </c>
      <c r="C87" s="81" t="s">
        <v>1320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46118.024907407409</v>
      </c>
      <c r="B88" s="81" t="s">
        <v>1405</v>
      </c>
      <c r="C88" s="81" t="s">
        <v>1113</v>
      </c>
      <c r="D88" s="81" t="s">
        <v>229</v>
      </c>
      <c r="E88" s="81">
        <v>0</v>
      </c>
      <c r="F88" s="81" t="s">
        <v>237</v>
      </c>
    </row>
    <row r="89" spans="1:6" x14ac:dyDescent="0.25">
      <c r="A89" s="78">
        <v>46118.025312500002</v>
      </c>
      <c r="B89" s="79" t="s">
        <v>230</v>
      </c>
      <c r="C89" s="79" t="s">
        <v>231</v>
      </c>
      <c r="D89" s="79" t="s">
        <v>227</v>
      </c>
      <c r="E89" s="79">
        <v>2187.0500000000002</v>
      </c>
      <c r="F89" s="79" t="s">
        <v>237</v>
      </c>
    </row>
    <row r="90" spans="1:6" x14ac:dyDescent="0.25">
      <c r="A90" s="80">
        <v>46118.025937500002</v>
      </c>
      <c r="B90" s="81" t="s">
        <v>230</v>
      </c>
      <c r="C90" s="81" t="s">
        <v>232</v>
      </c>
      <c r="D90" s="81" t="s">
        <v>229</v>
      </c>
      <c r="E90" s="81">
        <v>54.91</v>
      </c>
      <c r="F90" s="81" t="s">
        <v>237</v>
      </c>
    </row>
    <row r="91" spans="1:6" x14ac:dyDescent="0.25">
      <c r="A91" s="80">
        <v>46118.032083333332</v>
      </c>
      <c r="B91" s="81" t="s">
        <v>228</v>
      </c>
      <c r="C91" s="81" t="s">
        <v>1320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46118.033078703702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46118.035115740742</v>
      </c>
      <c r="B93" s="81" t="s">
        <v>228</v>
      </c>
      <c r="C93" s="81" t="s">
        <v>1320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46118.035115740742</v>
      </c>
      <c r="B94" s="81" t="s">
        <v>1405</v>
      </c>
      <c r="C94" s="81" t="s">
        <v>1113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46118.052129629628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46118.052986111114</v>
      </c>
      <c r="B96" s="81" t="s">
        <v>228</v>
      </c>
      <c r="C96" s="81" t="s">
        <v>1320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46118.052986111114</v>
      </c>
      <c r="B97" s="81" t="s">
        <v>1405</v>
      </c>
      <c r="C97" s="81" t="s">
        <v>1113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46118.075891203705</v>
      </c>
      <c r="B98" s="81" t="s">
        <v>228</v>
      </c>
      <c r="C98" s="81" t="s">
        <v>1320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46118.075891203705</v>
      </c>
      <c r="B99" s="81" t="s">
        <v>1405</v>
      </c>
      <c r="C99" s="81" t="s">
        <v>1113</v>
      </c>
      <c r="D99" s="81" t="s">
        <v>229</v>
      </c>
      <c r="E99" s="81">
        <v>0</v>
      </c>
      <c r="F99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2026-04-07T18:31:50Z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
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88756dda1c1402c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Nachfin\Desktop\Projets\AccountingIncOut\"/>
    </mc:Choice>
  </mc:AlternateContent>
  <xr:revisionPtr revIDLastSave="0" documentId="13_ncr:1_{09AA5C52-9D55-43DA-AE86-329C3AABBDB4}" xr6:coauthVersionLast="47" xr6:coauthVersionMax="47" xr10:uidLastSave="{00000000-0000-0000-0000-000000000000}"/>
  <bookViews>
    <workbookView xWindow="1560" yWindow="1560" windowWidth="21600" windowHeight="11295" tabRatio="745" firstSheet="6" activeTab="7" xr2:uid="{00000000-000D-0000-FFFF-FFFF00000000}"/>
  </bookViews>
  <sheets>
    <sheet name="Reports" sheetId="4" state="hidden" r:id="rId1"/>
    <sheet name="Настройки_Отчетов" sheetId="6" state="hidden" r:id="rId2"/>
    <sheet name="Dashboard" sheetId="7" state="hidden" r:id="rId3"/>
    <sheet name="Статус_Документов" sheetId="8" state="hidden" r:id="rId4"/>
    <sheet name="Отчет_Службы" sheetId="9" state="hidden" r:id="rId5"/>
    <sheet name="Задержки" sheetId="10" state="hidden" r:id="rId6"/>
    <sheet name="IncOut" sheetId="1" r:id="rId7"/>
    <sheet name="Dictionaries" sheetId="2" r:id="rId8"/>
    <sheet name="SystemSettings" sheetId="3" r:id="rId9"/>
    <sheet name="Localization" sheetId="14" r:id="rId10"/>
    <sheet name="OperationLog" sheetId="13" r:id="rId11"/>
    <sheet name="IncOutItems" sheetId="15" state="veryHidden" r:id="rId12"/>
  </sheets>
  <functionGroups builtInGroupCount="19"/>
  <definedNames>
    <definedName name="_FilterDatabase" localSheetId="10" hidden="1">OperationLog!$A$1:$F$1</definedName>
    <definedName name="ChartSettings">Настройки_Отчетов!$L$5:$N$10</definedName>
    <definedName name="ColorSettings">Настройки_Отчетов!$D$5:$F$9</definedName>
    <definedName name="Dashboard_Calculations">Dashboard!$S$1:$T$13</definedName>
    <definedName name="Dashboard_Charts_Area">Dashboard!$A$10:$O$25</definedName>
    <definedName name="Dashboard_KPI_Area">Dashboard!$A$5:$O$8</definedName>
    <definedName name="Dashboard_Params_Area">Dashboard!$P$1:$R$11</definedName>
    <definedName name="Dashboard_ServiceData">Dashboard!$V$11:$W$17</definedName>
    <definedName name="Dashboard_StatusData">Dashboard!$V$4:$W$8</definedName>
    <definedName name="Dashboard_Tables_Area">Dashboard!$A$27:$N$35</definedName>
    <definedName name="Dashboard_Trends_Area">Dashboard!$A$37:$N$55</definedName>
    <definedName name="PerformanceSettings">Настройки_Отчетов!$P$5:$R$9</definedName>
    <definedName name="Print_Area" localSheetId="6">TableIncOut[#All]</definedName>
    <definedName name="ReportDateFrom">Reports!$B$18</definedName>
    <definedName name="ReportDateTo">Reports!$B$19</definedName>
    <definedName name="ReportExecutor">Reports!$B$22</definedName>
    <definedName name="ReportService">Reports!$B$20</definedName>
    <definedName name="ReportStatus">Reports!$B$21</definedName>
    <definedName name="StatusList">Настройки_Отчетов!$A$4:$A$9</definedName>
    <definedName name="ThresholdSettings">Настройки_Отчетов!$H$5:$J$10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5" i="7" l="1"/>
  <c r="B55" i="7"/>
  <c r="C55" i="7" s="1"/>
  <c r="E55" i="7" s="1"/>
  <c r="D54" i="7"/>
  <c r="B54" i="7"/>
  <c r="C54" i="7" s="1"/>
  <c r="E54" i="7" s="1"/>
  <c r="D53" i="7"/>
  <c r="B53" i="7"/>
  <c r="C53" i="7" s="1"/>
  <c r="E53" i="7" s="1"/>
  <c r="D52" i="7"/>
  <c r="B52" i="7"/>
  <c r="C52" i="7" s="1"/>
  <c r="E52" i="7" s="1"/>
  <c r="D51" i="7"/>
  <c r="B51" i="7"/>
  <c r="C51" i="7" s="1"/>
  <c r="E51" i="7" s="1"/>
  <c r="D50" i="7"/>
  <c r="B50" i="7"/>
  <c r="C50" i="7" s="1"/>
  <c r="E50" i="7" s="1"/>
  <c r="D49" i="7"/>
  <c r="B49" i="7"/>
  <c r="C49" i="7" s="1"/>
  <c r="E49" i="7" s="1"/>
  <c r="U9" i="6"/>
  <c r="U6" i="6"/>
  <c r="U5" i="6"/>
  <c r="B19" i="4"/>
  <c r="B18" i="4"/>
  <c r="B3" i="7" l="1"/>
</calcChain>
</file>

<file path=xl/sharedStrings.xml><?xml version="1.0" encoding="utf-8"?>
<sst xmlns="http://schemas.openxmlformats.org/spreadsheetml/2006/main" count="2167" uniqueCount="1498">
  <si>
    <t>№ П/П</t>
  </si>
  <si>
    <t>Служба</t>
  </si>
  <si>
    <t>НомерДокумента</t>
  </si>
  <si>
    <t>Сумма документа</t>
  </si>
  <si>
    <t>От кого поступил (куда направлен)</t>
  </si>
  <si>
    <t>ДатаПередачиИсполнителю</t>
  </si>
  <si>
    <t>Исполнитель</t>
  </si>
  <si>
    <t>НомерИсхВСлужбу</t>
  </si>
  <si>
    <t>ДатаИсхВСлужбу</t>
  </si>
  <si>
    <t>Номер возвратаСоСлужбы</t>
  </si>
  <si>
    <t>Дата возвратаСоСлужбы</t>
  </si>
  <si>
    <t>Вид документа</t>
  </si>
  <si>
    <t>СтатусПодтверждения</t>
  </si>
  <si>
    <t>Вх.ФРП
Исх.ФРП</t>
  </si>
  <si>
    <t>ДатаВх. ФРП
ДатаИсх. ФРП</t>
  </si>
  <si>
    <t>ГСМ</t>
  </si>
  <si>
    <t>Инженерная</t>
  </si>
  <si>
    <t>Извещение</t>
  </si>
  <si>
    <t>Газаева Р.Р.</t>
  </si>
  <si>
    <t>Байрамова Л.Ю.</t>
  </si>
  <si>
    <t>РАВ</t>
  </si>
  <si>
    <t>вх</t>
  </si>
  <si>
    <t>Исмаилов</t>
  </si>
  <si>
    <t>CurrentRecordRow</t>
  </si>
  <si>
    <t>FormTop</t>
  </si>
  <si>
    <t>FormLeft</t>
  </si>
  <si>
    <t>LastSaved</t>
  </si>
  <si>
    <t>Вещевая</t>
  </si>
  <si>
    <t>Связи</t>
  </si>
  <si>
    <t>Авто</t>
  </si>
  <si>
    <t>Полигон</t>
  </si>
  <si>
    <t>Иванов</t>
  </si>
  <si>
    <t>Петров</t>
  </si>
  <si>
    <t>Сидоров</t>
  </si>
  <si>
    <t>Гамбулатова</t>
  </si>
  <si>
    <t>Дурнова</t>
  </si>
  <si>
    <t>ТипДокумента</t>
  </si>
  <si>
    <t>Накладная</t>
  </si>
  <si>
    <t>Прод</t>
  </si>
  <si>
    <t>БПлА</t>
  </si>
  <si>
    <t>КЭС</t>
  </si>
  <si>
    <t>Мед</t>
  </si>
  <si>
    <t>исх</t>
  </si>
  <si>
    <t>Отметка об исполнении (номер документа в 1С)</t>
  </si>
  <si>
    <t>Подтверждено</t>
  </si>
  <si>
    <t>НомерИсхКонверт/НомерВхКонверт</t>
  </si>
  <si>
    <t>ДатаИсхКонверт/ДатаВхКонверт</t>
  </si>
  <si>
    <t>Акт сверки</t>
  </si>
  <si>
    <t>Акт</t>
  </si>
  <si>
    <t>Вх.</t>
  </si>
  <si>
    <t>ПБС-258</t>
  </si>
  <si>
    <t>"СИСТЕМА ОТЧЕТНОСТИ ДОКУМЕНТООБОРОТА"</t>
  </si>
  <si>
    <t>"Базовые отчеты:"</t>
  </si>
  <si>
    <t>Параметр</t>
  </si>
  <si>
    <t>Отпр.Исх.</t>
  </si>
  <si>
    <t>Параметры отчетов:</t>
  </si>
  <si>
    <t>Период с:</t>
  </si>
  <si>
    <t>Период по:</t>
  </si>
  <si>
    <t>Служба:</t>
  </si>
  <si>
    <t>Статус:</t>
  </si>
  <si>
    <t>Всего документов:</t>
  </si>
  <si>
    <t>За выбранный период:</t>
  </si>
  <si>
    <t>Последнее обновление:</t>
  </si>
  <si>
    <t>Активных записей:</t>
  </si>
  <si>
    <t>Все статусы</t>
  </si>
  <si>
    <t>В работе</t>
  </si>
  <si>
    <t>Новый</t>
  </si>
  <si>
    <t>СПРАВОЧНИКИ ДЛЯ ОТЧЕТОВ</t>
  </si>
  <si>
    <t>Статусы документов:</t>
  </si>
  <si>
    <t>Описание:</t>
  </si>
  <si>
    <t>Показать все документы</t>
  </si>
  <si>
    <t>Документы без статуса</t>
  </si>
  <si>
    <t>Подтвержденные документы</t>
  </si>
  <si>
    <t>Отправленные исходящие</t>
  </si>
  <si>
    <t>Документы в процессе обработки</t>
  </si>
  <si>
    <t>Новые поступившие документы</t>
  </si>
  <si>
    <t>Цветовое кодирование:</t>
  </si>
  <si>
    <t>Статус</t>
  </si>
  <si>
    <t>Цвет_RGB</t>
  </si>
  <si>
    <t>Описание</t>
  </si>
  <si>
    <t>Пустой</t>
  </si>
  <si>
    <t>Красный - требует внимания</t>
  </si>
  <si>
    <t>Зеленый - завершено</t>
  </si>
  <si>
    <t>Синий - отправлено</t>
  </si>
  <si>
    <t>Желтый - в процессе</t>
  </si>
  <si>
    <t>Просрочен</t>
  </si>
  <si>
    <t>Ярко-красный - критично</t>
  </si>
  <si>
    <t>Пороги для анализа:</t>
  </si>
  <si>
    <t>Значение</t>
  </si>
  <si>
    <t>Единица измерения</t>
  </si>
  <si>
    <t>Критичный_Срок_Задержки</t>
  </si>
  <si>
    <t>дней</t>
  </si>
  <si>
    <t>Предупреждение_Задержки</t>
  </si>
  <si>
    <t>Топ_Служб_Количество</t>
  </si>
  <si>
    <t>записей</t>
  </si>
  <si>
    <t>Период_По_Умолчанию</t>
  </si>
  <si>
    <t>Максимум_Записей_Отчет</t>
  </si>
  <si>
    <t>Процент_Завершенности</t>
  </si>
  <si>
    <t>%</t>
  </si>
  <si>
    <t>Настройки визуализации:</t>
  </si>
  <si>
    <t>Элемент</t>
  </si>
  <si>
    <t>Настройка</t>
  </si>
  <si>
    <t>Ширина_Dashboard</t>
  </si>
  <si>
    <t>Пикселей</t>
  </si>
  <si>
    <t>Высота_Dashboard</t>
  </si>
  <si>
    <t>Тип_Диаграммы_Статус</t>
  </si>
  <si>
    <t>Круговая</t>
  </si>
  <si>
    <t>Pie</t>
  </si>
  <si>
    <t>Тип_Диаграммы_Службы</t>
  </si>
  <si>
    <t>Столбчатая</t>
  </si>
  <si>
    <t>Column</t>
  </si>
  <si>
    <t>Показать_Проценты</t>
  </si>
  <si>
    <t>Да/Нет</t>
  </si>
  <si>
    <t>Да</t>
  </si>
  <si>
    <t>Анимация_Диаграмм</t>
  </si>
  <si>
    <t>Нет</t>
  </si>
  <si>
    <t>ШАБЛОНЫ СООБЩЕНИЙ:</t>
  </si>
  <si>
    <t>Сообщение_Нет_Данных:</t>
  </si>
  <si>
    <t>За выбранный период данные не найдены. Измените параметры фильтрации.</t>
  </si>
  <si>
    <t>Сообщение_Ошибка_Данных:</t>
  </si>
  <si>
    <t>Произошла ошибка при обработке данных. Обратитесь к администратору.</t>
  </si>
  <si>
    <t>Сообщение_Успех_Генерации:</t>
  </si>
  <si>
    <t>Отчет успешно сгенерирован. Время создания:</t>
  </si>
  <si>
    <t>Настройки производительности:</t>
  </si>
  <si>
    <t>Кэширование_Данных</t>
  </si>
  <si>
    <t>Использовать кэш</t>
  </si>
  <si>
    <t>Время_Кэша_Минут</t>
  </si>
  <si>
    <t>Время жизни кэша</t>
  </si>
  <si>
    <t>Пакетная_Обработка</t>
  </si>
  <si>
    <t>Записей за раз</t>
  </si>
  <si>
    <t>Показать_Прогресс</t>
  </si>
  <si>
    <t>Индикатор загрузки</t>
  </si>
  <si>
    <t>Автообновление_Секунд</t>
  </si>
  <si>
    <t>Обновление данных</t>
  </si>
  <si>
    <t>ВСПОМОГАТЕЛЬНЫЕ ФОРМУЛЫ:</t>
  </si>
  <si>
    <t>Текущая_Дата:</t>
  </si>
  <si>
    <t>Период_Месяц_Назад:</t>
  </si>
  <si>
    <t>Всего_Документов:</t>
  </si>
  <si>
    <t>Подтвержденных:</t>
  </si>
  <si>
    <t>Процент_Завершенности:</t>
  </si>
  <si>
    <t>СВОДНЫЙ DASHBOARD ДОКУМЕНТООБОРОТА</t>
  </si>
  <si>
    <t>Период:</t>
  </si>
  <si>
    <t>Обновлено:</t>
  </si>
  <si>
    <t>Активен</t>
  </si>
  <si>
    <t>ВСЕГО ДОКУМЕНТОВ</t>
  </si>
  <si>
    <t>За выбранный период</t>
  </si>
  <si>
    <t>ПОДТВЕРЖДЕНО</t>
  </si>
  <si>
    <t>Процент завершения</t>
  </si>
  <si>
    <t>В РАБОТЕ</t>
  </si>
  <si>
    <t>Требуют внимания</t>
  </si>
  <si>
    <t>ПРОСРОЧЕНЫ</t>
  </si>
  <si>
    <t>Критичные задержки</t>
  </si>
  <si>
    <t>РАСПРЕДЕЛЕНИЕ ПО СТАТУСАМ</t>
  </si>
  <si>
    <t>Здесь будет размещена круговая диаграмма</t>
  </si>
  <si>
    <t>распределения документов по статусам</t>
  </si>
  <si>
    <t>АКТИВНОСТЬ ПО СЛУЖБАМ</t>
  </si>
  <si>
    <t>Здесь будет размещена столбчатая диаграмма</t>
  </si>
  <si>
    <t>активности служб по количеству документов</t>
  </si>
  <si>
    <t>№</t>
  </si>
  <si>
    <t>?</t>
  </si>
  <si>
    <t>ДОКУМЕНТЫ, ТРЕБУЮЩИЕ ВНИМАНИЯ</t>
  </si>
  <si>
    <t>ДИНАМИКА ДОКУМЕНТООБОРОТА ПО ДНЯМ</t>
  </si>
  <si>
    <t>Здесь будет размещен линейный график динамики</t>
  </si>
  <si>
    <t>документооборота за последние 30 дней</t>
  </si>
  <si>
    <t>АКТИВНОСТЬ ПО ДНЯМ НЕДЕЛИ</t>
  </si>
  <si>
    <t>День</t>
  </si>
  <si>
    <t>Поступило</t>
  </si>
  <si>
    <t>Обработано</t>
  </si>
  <si>
    <t>Средн.время</t>
  </si>
  <si>
    <t>Эффективность</t>
  </si>
  <si>
    <t>Понедельник</t>
  </si>
  <si>
    <t>Вторник</t>
  </si>
  <si>
    <t>Среда</t>
  </si>
  <si>
    <t>Четверг</t>
  </si>
  <si>
    <t>Пятница</t>
  </si>
  <si>
    <t>Суббота</t>
  </si>
  <si>
    <t>Воскресенье</t>
  </si>
  <si>
    <t>ПАРАМЕТРЫ DASHBOARD</t>
  </si>
  <si>
    <t>Автообновление:</t>
  </si>
  <si>
    <t>Интервал (сек):</t>
  </si>
  <si>
    <t>Вкл</t>
  </si>
  <si>
    <t>Последнее обновл.:</t>
  </si>
  <si>
    <t>Статус данных:</t>
  </si>
  <si>
    <t>Фильтр служба:</t>
  </si>
  <si>
    <t>ОК</t>
  </si>
  <si>
    <t>Фильтр период:</t>
  </si>
  <si>
    <t>Записей на странице:</t>
  </si>
  <si>
    <t>30 дней</t>
  </si>
  <si>
    <t>Показать тренды:</t>
  </si>
  <si>
    <t>Цветовая схема:</t>
  </si>
  <si>
    <t>ВСПОМОГАТЕЛЬНЫЕ РАСЧЕТЫ</t>
  </si>
  <si>
    <t>Всего_Документов</t>
  </si>
  <si>
    <t>Подтвержденных</t>
  </si>
  <si>
    <t>Отправленных</t>
  </si>
  <si>
    <t>Без_Статуса</t>
  </si>
  <si>
    <t>В_Работе</t>
  </si>
  <si>
    <t>Просроченных</t>
  </si>
  <si>
    <t>Средний_Срок</t>
  </si>
  <si>
    <t>Процент_Завершения</t>
  </si>
  <si>
    <t>Активных_Служб</t>
  </si>
  <si>
    <t>Последняя_Дата</t>
  </si>
  <si>
    <t>Первая_Дата</t>
  </si>
  <si>
    <t>Период_Дней</t>
  </si>
  <si>
    <t>ДАННЫЕ ДЛЯ ДИАГРАММЫ СТАТУСОВ</t>
  </si>
  <si>
    <t>Количество</t>
  </si>
  <si>
    <t>Без статуса</t>
  </si>
  <si>
    <t>ДАННЫЕ ДЛЯ ДИАГРАММЫ СЛУЖБ</t>
  </si>
  <si>
    <t>Критично</t>
  </si>
  <si>
    <t>Не задан</t>
  </si>
  <si>
    <t>&gt; Без изменений</t>
  </si>
  <si>
    <t>Ср. время: 7,9 дн.</t>
  </si>
  <si>
    <t>Макс. задержка: 15 дн.</t>
  </si>
  <si>
    <t>Наряд</t>
  </si>
  <si>
    <t>12/12/2548 от 12.05.25</t>
  </si>
  <si>
    <t>Исх.</t>
  </si>
  <si>
    <t>12/25/25 от 25.08.24</t>
  </si>
  <si>
    <t>25/14/1254 от 11.06.24</t>
  </si>
  <si>
    <t>ОК (19 записей)</t>
  </si>
  <si>
    <t>11.07.2025 - 10.08.2025</t>
  </si>
  <si>
    <t>25/253654 от 01.06.25</t>
  </si>
  <si>
    <t>7/129</t>
  </si>
  <si>
    <t>54169-ГС</t>
  </si>
  <si>
    <t>57229-3</t>
  </si>
  <si>
    <t>57229-34</t>
  </si>
  <si>
    <t>57229-40</t>
  </si>
  <si>
    <t>INFO</t>
  </si>
  <si>
    <t>START</t>
  </si>
  <si>
    <t>SystemStart</t>
  </si>
  <si>
    <t>SUCCESS</t>
  </si>
  <si>
    <t>MatchDoverennosti</t>
  </si>
  <si>
    <t>Запуск сопоставления доверенностей</t>
  </si>
  <si>
    <t>Сопоставление доверенностей завершено</t>
  </si>
  <si>
    <t>MassProcess</t>
  </si>
  <si>
    <t>Backup</t>
  </si>
  <si>
    <t>Массовая обработка завершена</t>
  </si>
  <si>
    <t>Nachfin</t>
  </si>
  <si>
    <t>Date/Time</t>
  </si>
  <si>
    <t>Operation</t>
  </si>
  <si>
    <t>Description</t>
  </si>
  <si>
    <t>Status</t>
  </si>
  <si>
    <t>Execution Time (sec)</t>
  </si>
  <si>
    <t>User</t>
  </si>
  <si>
    <t>IncOut system started</t>
  </si>
  <si>
    <t>Key</t>
  </si>
  <si>
    <t>RussianText</t>
  </si>
  <si>
    <t>IncOut</t>
  </si>
  <si>
    <t>ВхИсх</t>
  </si>
  <si>
    <t>TableIncOut</t>
  </si>
  <si>
    <t>ВходящиеИсходящие</t>
  </si>
  <si>
    <t>Ready to work</t>
  </si>
  <si>
    <t>Готов к работе</t>
  </si>
  <si>
    <t>Interactive forms system is active. Ready to work.</t>
  </si>
  <si>
    <t>Система интерактивных форм активна. Готов к работе.</t>
  </si>
  <si>
    <t>OperationLog</t>
  </si>
  <si>
    <t>ЖурналОпераций</t>
  </si>
  <si>
    <t>SystemSettings</t>
  </si>
  <si>
    <t>СистемныеНастройки</t>
  </si>
  <si>
    <t>Dictionaries</t>
  </si>
  <si>
    <t>Настройки</t>
  </si>
  <si>
    <t>Initializing interactive forms system...</t>
  </si>
  <si>
    <t>Инициализация системы интерактивных форм...</t>
  </si>
  <si>
    <t>CRITICAL ERROR initializing system!</t>
  </si>
  <si>
    <t>КРИТИЧЕСКАЯ ОШИБКА инициализации системы!</t>
  </si>
  <si>
    <t xml:space="preserve">Error: </t>
  </si>
  <si>
    <t xml:space="preserve">Ошибка: </t>
  </si>
  <si>
    <t>System Error</t>
  </si>
  <si>
    <t>Системная ошибка</t>
  </si>
  <si>
    <t>ERROR initializing system.</t>
  </si>
  <si>
    <t>ОШИБКА инициализации системы.</t>
  </si>
  <si>
    <t>Duplicate record</t>
  </si>
  <si>
    <t>Дублировать запись</t>
  </si>
  <si>
    <t>Manual system initialization...</t>
  </si>
  <si>
    <t>Ручная инициализация системы...</t>
  </si>
  <si>
    <t>Manual initialization completed.</t>
  </si>
  <si>
    <t>Ручная инициализация завершена.</t>
  </si>
  <si>
    <t>Reloading context menu...</t>
  </si>
  <si>
    <t>Перезагрузка контекстного меню...</t>
  </si>
  <si>
    <t>[OK] Context menu successfully reloaded!</t>
  </si>
  <si>
    <t>[OK] Контекстное меню успешно перезагружено!</t>
  </si>
  <si>
    <t>[X] Error reloading context menu!</t>
  </si>
  <si>
    <t>[X] Ошибка перезагрузки контекстного меню!</t>
  </si>
  <si>
    <t xml:space="preserve">Reload error: </t>
  </si>
  <si>
    <t xml:space="preserve">Ошибка перезагрузки: </t>
  </si>
  <si>
    <t>CONTEXT MENU TEST:</t>
  </si>
  <si>
    <t>ТЕСТ КОНТЕКСТНОГО МЕНЮ:</t>
  </si>
  <si>
    <t>[OK] Context menu found in the system</t>
  </si>
  <si>
    <t>[OK] Контекстное меню найдено в системе</t>
  </si>
  <si>
    <t>Right-click a cell INSIDE the table</t>
  </si>
  <si>
    <t>Щелкните правой кнопкой мыши ячейку ВНУТРИ таблицы</t>
  </si>
  <si>
    <t>Context menu found - ready to use</t>
  </si>
  <si>
    <t>Контекстное меню найдено - готово к использованию</t>
  </si>
  <si>
    <t>[X] Context menu NOT found!</t>
  </si>
  <si>
    <t>[X] Контекстное меню НЕ найдено!</t>
  </si>
  <si>
    <t>Forcing activation...</t>
  </si>
  <si>
    <t>Принудительная активация...</t>
  </si>
  <si>
    <t>[OK] Activation successful!</t>
  </si>
  <si>
    <t>[OK] Активация успешна!</t>
  </si>
  <si>
    <t>Context menu activated successfully</t>
  </si>
  <si>
    <t>Контекстное меню успешно активировано</t>
  </si>
  <si>
    <t>[X] Activation failed!</t>
  </si>
  <si>
    <t>[X] Ошибка активации!</t>
  </si>
  <si>
    <t>Error activating context menu</t>
  </si>
  <si>
    <t>Ошибка активации контекстного меню</t>
  </si>
  <si>
    <t>Interactive forms system shut down</t>
  </si>
  <si>
    <t>Система интерактивных форм отключена</t>
  </si>
  <si>
    <t>Diagnostics completed. See results in Debug (Ctrl+G)</t>
  </si>
  <si>
    <t>Диагностика завершена. См. результаты в Debug (Ctrl+G)</t>
  </si>
  <si>
    <t>Emergency system shutdown completed</t>
  </si>
  <si>
    <t>Экстренное завершение работы системы выполнено</t>
  </si>
  <si>
    <t>Restarting interactive forms system...</t>
  </si>
  <si>
    <t>Перезапуск системы интерактивных форм...</t>
  </si>
  <si>
    <t>System successfully restarted!</t>
  </si>
  <si>
    <t>Система успешно перезапущена!</t>
  </si>
  <si>
    <t>Sheet 'IncOut' not found in the workbook!</t>
  </si>
  <si>
    <t>Лист 'ВхИсх' не найден в книге!</t>
  </si>
  <si>
    <t>Initialization Error</t>
  </si>
  <si>
    <t>Ошибка инициализации</t>
  </si>
  <si>
    <t>Table 'TableIncOut' not found on sheet 'IncOut'!</t>
  </si>
  <si>
    <t>Таблица 'ВходящиеИсходящие' не найдена на листе 'ВхИсх'!</t>
  </si>
  <si>
    <t>Make sure the table exists and has the correct name.</t>
  </si>
  <si>
    <t>Убедитесь, что таблица существует и имеет правильное имя.</t>
  </si>
  <si>
    <t>Warning: table is empty. Add data to work.</t>
  </si>
  <si>
    <t>Внимание: таблица пуста. Добавьте данные для работы.</t>
  </si>
  <si>
    <t>Interactive forms system is active (Excel 2021). Use Ctrl+Shift+M for menu.</t>
  </si>
  <si>
    <t>Система интерактивных форм активна. (Ctrl+Shift+M для меню)</t>
  </si>
  <si>
    <t>Critical error initializing table events system:</t>
  </si>
  <si>
    <t>Критическая ошибка инициализации системы событий таблицы:</t>
  </si>
  <si>
    <t>Critical Error</t>
  </si>
  <si>
    <t>Критическая ошибка</t>
  </si>
  <si>
    <t>Switch to sheet 'IncOut' to use the action menu.</t>
  </si>
  <si>
    <t>Перейдите на лист 'ВхИсх' для использования меню действий.</t>
  </si>
  <si>
    <t>ACTION MENU FOR RECORD No.</t>
  </si>
  <si>
    <t>МЕНЮ ДЕЙСТВИЙ ДЛЯ ЗАПИСИ №</t>
  </si>
  <si>
    <t>Available commands:</t>
  </si>
  <si>
    <t>Доступные команды:</t>
  </si>
  <si>
    <t>Edit in form</t>
  </si>
  <si>
    <t>Редактировать в форме</t>
  </si>
  <si>
    <t>Show record information</t>
  </si>
  <si>
    <t>Показать информацию о записи</t>
  </si>
  <si>
    <t>Cancel</t>
  </si>
  <si>
    <t>Отмена</t>
  </si>
  <si>
    <t>Enter command number:</t>
  </si>
  <si>
    <t>Введите номер команды:</t>
  </si>
  <si>
    <t>Excel 2021 Action Menu</t>
  </si>
  <si>
    <t>Меню действий Excel</t>
  </si>
  <si>
    <t>Invalid choice. Use numbers 0-3.</t>
  </si>
  <si>
    <t>Неверный выбор. Используйте цифры 0-3.</t>
  </si>
  <si>
    <t>Select a cell inside the data table to use the menu.</t>
  </si>
  <si>
    <t>Выберите ячейку внутри таблицы данных для использования меню.</t>
  </si>
  <si>
    <t>Table is empty!</t>
  </si>
  <si>
    <t>Таблица пуста!</t>
  </si>
  <si>
    <t>Table not found!</t>
  </si>
  <si>
    <t>Таблица не найдена!</t>
  </si>
  <si>
    <t xml:space="preserve">Error displaying menu: </t>
  </si>
  <si>
    <t xml:space="preserve">Ошибка отображения меню: </t>
  </si>
  <si>
    <t>RECORD No.</t>
  </si>
  <si>
    <t>ЗАПИСЬ №</t>
  </si>
  <si>
    <t xml:space="preserve"> INFO:</t>
  </si>
  <si>
    <t xml:space="preserve"> ИНФО:</t>
  </si>
  <si>
    <t xml:space="preserve">Service: </t>
  </si>
  <si>
    <t xml:space="preserve">Служба: </t>
  </si>
  <si>
    <t xml:space="preserve">Document Type: </t>
  </si>
  <si>
    <t xml:space="preserve">Тип документа: </t>
  </si>
  <si>
    <t xml:space="preserve">Document Number: </t>
  </si>
  <si>
    <t xml:space="preserve">Номер документа: </t>
  </si>
  <si>
    <t xml:space="preserve">Amount: </t>
  </si>
  <si>
    <t xml:space="preserve">Сумма: </t>
  </si>
  <si>
    <t xml:space="preserve"> rub.</t>
  </si>
  <si>
    <t xml:space="preserve"> руб.</t>
  </si>
  <si>
    <t>Press OK to continue.</t>
  </si>
  <si>
    <t>Нажмите OK для продолжения.</t>
  </si>
  <si>
    <t>Record Information</t>
  </si>
  <si>
    <t>Информация о записи</t>
  </si>
  <si>
    <t xml:space="preserve">Error getting record information: </t>
  </si>
  <si>
    <t xml:space="preserve">Ошибка получения информации о записи: </t>
  </si>
  <si>
    <t>Action menu (Ctrl+Shift+M)</t>
  </si>
  <si>
    <t>Меню действий (Ctrl+Shift+M)</t>
  </si>
  <si>
    <t>Find posting in 1C</t>
  </si>
  <si>
    <t>Найти проводку в 1С</t>
  </si>
  <si>
    <t>Interactive forms system deactivated</t>
  </si>
  <si>
    <t>Система интерактивных форм деактивирована</t>
  </si>
  <si>
    <t>Seq No</t>
  </si>
  <si>
    <t>Service</t>
  </si>
  <si>
    <t>Document Group</t>
  </si>
  <si>
    <t>Document Type</t>
  </si>
  <si>
    <t>Тип документа</t>
  </si>
  <si>
    <t>Document Number</t>
  </si>
  <si>
    <t>Номер документа</t>
  </si>
  <si>
    <t>Document Amount</t>
  </si>
  <si>
    <t>Inc.FRP/Out.FRP</t>
  </si>
  <si>
    <t>Вх.ФРП/Исх.ФРП</t>
  </si>
  <si>
    <t>Date Inc.FRP/Out.FRP</t>
  </si>
  <si>
    <t>Дата Вх.ФРП/Исх.ФРП</t>
  </si>
  <si>
    <t>Received From</t>
  </si>
  <si>
    <t>От кого поступил</t>
  </si>
  <si>
    <t>Date Transferred to Executor</t>
  </si>
  <si>
    <t>Дата передачи исполнителю</t>
  </si>
  <si>
    <t>Executor</t>
  </si>
  <si>
    <t>Out. No. to Service</t>
  </si>
  <si>
    <t>Исх. № в службу</t>
  </si>
  <si>
    <t>Out. Date to Service</t>
  </si>
  <si>
    <t>Дата исх. в службу</t>
  </si>
  <si>
    <t>Return No.</t>
  </si>
  <si>
    <t>Номер возврата</t>
  </si>
  <si>
    <t>Return Date</t>
  </si>
  <si>
    <t>Дата возврата</t>
  </si>
  <si>
    <t>Out. Envelope No.</t>
  </si>
  <si>
    <t>Номер исх. конверта</t>
  </si>
  <si>
    <t>Out. Envelope Date</t>
  </si>
  <si>
    <t>Дата исх. конверта</t>
  </si>
  <si>
    <t>Execution Mark</t>
  </si>
  <si>
    <t>Отметка об исполнении</t>
  </si>
  <si>
    <t>Confirmation Status</t>
  </si>
  <si>
    <t>Статус подтверждения</t>
  </si>
  <si>
    <t>Order Info</t>
  </si>
  <si>
    <t>Информация о наряде</t>
  </si>
  <si>
    <t>Data Field</t>
  </si>
  <si>
    <t>Поле данных</t>
  </si>
  <si>
    <t>Interactive forms system is not active!</t>
  </si>
  <si>
    <t>Система интерактивных форм не активна!</t>
  </si>
  <si>
    <t>Error: system objects not initialized!</t>
  </si>
  <si>
    <t>Ошибка: системные объекты не инициализированы!</t>
  </si>
  <si>
    <t>Switch to sheet 'IncOut' to work with the table.</t>
  </si>
  <si>
    <t>Перейдите на лист 'ВхИсх' для работы с таблицей.</t>
  </si>
  <si>
    <t>Table is empty! Add data to work with the form.</t>
  </si>
  <si>
    <t>Таблица пуста! Добавьте данные для работы с формой.</t>
  </si>
  <si>
    <t>Select a cell inside the data table.</t>
  </si>
  <si>
    <t>Выберите ячейку внутри таблицы данных.</t>
  </si>
  <si>
    <t>Select a single cell in the table for editing.</t>
  </si>
  <si>
    <t>Выберите одну ячейку в таблице для редактирования.</t>
  </si>
  <si>
    <t xml:space="preserve">Error opening form: </t>
  </si>
  <si>
    <t xml:space="preserve">Ошибка открытия формы: </t>
  </si>
  <si>
    <t>Loaded record No.</t>
  </si>
  <si>
    <t>Загружена запись №</t>
  </si>
  <si>
    <t xml:space="preserve"> | Active field: </t>
  </si>
  <si>
    <t xml:space="preserve"> | Активное поле: </t>
  </si>
  <si>
    <t>Duplicate record No.</t>
  </si>
  <si>
    <t>Дублировать запись №</t>
  </si>
  <si>
    <t>All data will be copied except:</t>
  </si>
  <si>
    <t>Все данные будут скопированы, кроме:</t>
  </si>
  <si>
    <t>Duplication Confirmation</t>
  </si>
  <si>
    <t>Подтверждение дублирования</t>
  </si>
  <si>
    <t xml:space="preserve"> successfully duplicated!</t>
  </si>
  <si>
    <t xml:space="preserve"> успешно дублирована!</t>
  </si>
  <si>
    <t>New record: No.</t>
  </si>
  <si>
    <t>Новая запись: №</t>
  </si>
  <si>
    <t>Please note:</t>
  </si>
  <si>
    <t>Обратите внимание:</t>
  </si>
  <si>
    <t>Duplication Completed</t>
  </si>
  <si>
    <t>Дублирование завершено</t>
  </si>
  <si>
    <t>Created duplicate of record No.</t>
  </si>
  <si>
    <t>Создан дубликат записи №</t>
  </si>
  <si>
    <t xml:space="preserve"> based on record No.</t>
  </si>
  <si>
    <t xml:space="preserve"> на основе записи №</t>
  </si>
  <si>
    <t xml:space="preserve">Error performing duplication: </t>
  </si>
  <si>
    <t xml:space="preserve">Ошибка выполнения дублирования: </t>
  </si>
  <si>
    <t xml:space="preserve">Row </t>
  </si>
  <si>
    <t xml:space="preserve">Строка </t>
  </si>
  <si>
    <t xml:space="preserve">, Col </t>
  </si>
  <si>
    <t xml:space="preserve">, Столбец </t>
  </si>
  <si>
    <t xml:space="preserve"> | Ctrl+Shift+M: menu | Ctrl+E: edit | Ctrl+D: duplicate | </t>
  </si>
  <si>
    <t xml:space="preserve"> | Ctrl+Shift+M: меню | Ctrl+E: ред | Ctrl+D: дубль | </t>
  </si>
  <si>
    <t>Interactive forms system is active (Excel 2021). Use hotkeys.</t>
  </si>
  <si>
    <t>Система активна. Используйте горячие клавиши.</t>
  </si>
  <si>
    <t>Ready to work. Hotkeys: Ctrl+S (save), Ctrl+N (new), Ctrl+F (search)</t>
  </si>
  <si>
    <t>Готов к работе. Горячие клавиши: Ctrl+S (сохранить), Ctrl+N (новая), Ctrl+F (поиск)</t>
  </si>
  <si>
    <t>Inc.</t>
  </si>
  <si>
    <t>Out.</t>
  </si>
  <si>
    <t>Confirmed</t>
  </si>
  <si>
    <t>Sent Out.</t>
  </si>
  <si>
    <t>|&lt; First</t>
  </si>
  <si>
    <t>|&lt; Первая</t>
  </si>
  <si>
    <t>&lt; Prev</t>
  </si>
  <si>
    <t>&lt; Пред.</t>
  </si>
  <si>
    <t>Next &gt;</t>
  </si>
  <si>
    <t>След. &gt;</t>
  </si>
  <si>
    <t>Last &gt;|</t>
  </si>
  <si>
    <t>Послед. &gt;|</t>
  </si>
  <si>
    <t>Save</t>
  </si>
  <si>
    <t>Сохранить</t>
  </si>
  <si>
    <t>Clear</t>
  </si>
  <si>
    <t>Очистить</t>
  </si>
  <si>
    <t>New</t>
  </si>
  <si>
    <t>Новая запись</t>
  </si>
  <si>
    <t>Delete</t>
  </si>
  <si>
    <t>Удалить</t>
  </si>
  <si>
    <t>- Document Number</t>
  </si>
  <si>
    <t>- Номер документа</t>
  </si>
  <si>
    <t>- Document Amount</t>
  </si>
  <si>
    <t>- Сумма документа</t>
  </si>
  <si>
    <t>- Order Info</t>
  </si>
  <si>
    <t>- Информация о наряде</t>
  </si>
  <si>
    <t>- Document Number not copied (requires filling)</t>
  </si>
  <si>
    <t>- Номер документа не скопирован (требует заполнения)</t>
  </si>
  <si>
    <t>- Document Amount reset to zero (requires filling)</t>
  </si>
  <si>
    <t>- Сумма сброшена в ноль (требует заполнения)</t>
  </si>
  <si>
    <t>- Order Info not copied</t>
  </si>
  <si>
    <t>- Информация о наряде не скопирована</t>
  </si>
  <si>
    <t>Error: Required sheets not found for Dashboard generation</t>
  </si>
  <si>
    <t>Ошибка: Не найдены необходимые листы для генерации Dashboard</t>
  </si>
  <si>
    <t>Error: Table 'TableIncOut' not found for Dashboard generation</t>
  </si>
  <si>
    <t>Ошибка: Не найдена таблица 'ВходящиеИсходящие' для генерации Dashboard</t>
  </si>
  <si>
    <t>Generating...</t>
  </si>
  <si>
    <t>Генерация...</t>
  </si>
  <si>
    <t>Active</t>
  </si>
  <si>
    <t>Dashboard updated successfully!</t>
  </si>
  <si>
    <t>Dashboard успешно обновлен!</t>
  </si>
  <si>
    <t xml:space="preserve">Processed records: </t>
  </si>
  <si>
    <t xml:space="preserve">Обработано записей: </t>
  </si>
  <si>
    <t xml:space="preserve">Processing time: </t>
  </si>
  <si>
    <t xml:space="preserve">Время обработки: </t>
  </si>
  <si>
    <t xml:space="preserve"> sec.</t>
  </si>
  <si>
    <t xml:space="preserve"> сек.</t>
  </si>
  <si>
    <t xml:space="preserve">Last update: </t>
  </si>
  <si>
    <t xml:space="preserve">Последнее обновление: </t>
  </si>
  <si>
    <t>Dashboard Updated</t>
  </si>
  <si>
    <t>Dashboard обновлен</t>
  </si>
  <si>
    <t xml:space="preserve">Dashboard generation error: </t>
  </si>
  <si>
    <t xml:space="preserve">Ошибка генерации Dashboard: </t>
  </si>
  <si>
    <t xml:space="preserve">Error number: </t>
  </si>
  <si>
    <t xml:space="preserve">Номер ошибки: </t>
  </si>
  <si>
    <t>Count</t>
  </si>
  <si>
    <t>In progress</t>
  </si>
  <si>
    <t>No status</t>
  </si>
  <si>
    <t>No.</t>
  </si>
  <si>
    <t>MOST ACTIVE SERVICES</t>
  </si>
  <si>
    <t>СЛУЖБЫ С НАИБОЛЬШЕЙ АКТИВНОСТЬЮ</t>
  </si>
  <si>
    <t>Total</t>
  </si>
  <si>
    <t>Всего</t>
  </si>
  <si>
    <t>Completed</t>
  </si>
  <si>
    <t>Завершено</t>
  </si>
  <si>
    <t>Trend</t>
  </si>
  <si>
    <t>Тренд</t>
  </si>
  <si>
    <t>DOCUMENTS REQUIRING ATTENTION</t>
  </si>
  <si>
    <t>Doc No.</t>
  </si>
  <si>
    <t>№ Документа</t>
  </si>
  <si>
    <t>Date</t>
  </si>
  <si>
    <t>Дата</t>
  </si>
  <si>
    <t>Days</t>
  </si>
  <si>
    <t>Дней</t>
  </si>
  <si>
    <t>Critical</t>
  </si>
  <si>
    <t>Warning</t>
  </si>
  <si>
    <t>Внимание</t>
  </si>
  <si>
    <t>Not set</t>
  </si>
  <si>
    <t xml:space="preserve"> vs previous</t>
  </si>
  <si>
    <t xml:space="preserve"> к предыдущему</t>
  </si>
  <si>
    <t>No changes</t>
  </si>
  <si>
    <t>Без изменений</t>
  </si>
  <si>
    <t xml:space="preserve">Avg. time: </t>
  </si>
  <si>
    <t xml:space="preserve">Ср. время: </t>
  </si>
  <si>
    <t xml:space="preserve"> days</t>
  </si>
  <si>
    <t xml:space="preserve"> дн.</t>
  </si>
  <si>
    <t>N/A</t>
  </si>
  <si>
    <t>н/д</t>
  </si>
  <si>
    <t xml:space="preserve">Max delay: </t>
  </si>
  <si>
    <t xml:space="preserve">Макс. задержка: </t>
  </si>
  <si>
    <t>No delays</t>
  </si>
  <si>
    <t>Задержек нет</t>
  </si>
  <si>
    <t>No data for pie chart</t>
  </si>
  <si>
    <t>Нет данных для круговой диаграммы</t>
  </si>
  <si>
    <t xml:space="preserve">Chart error: </t>
  </si>
  <si>
    <t xml:space="preserve">Ошибка диаграммы: </t>
  </si>
  <si>
    <t>No service data</t>
  </si>
  <si>
    <t>Нет данных по службам</t>
  </si>
  <si>
    <t>Status Distribution</t>
  </si>
  <si>
    <t>Распределение по статусам</t>
  </si>
  <si>
    <t>Activity by Services</t>
  </si>
  <si>
    <t>Активность по службам</t>
  </si>
  <si>
    <t>Auto-update disabled</t>
  </si>
  <si>
    <t>Автообновление отключено</t>
  </si>
  <si>
    <t>Auto-update enabled</t>
  </si>
  <si>
    <t>Автообновление включено</t>
  </si>
  <si>
    <t>Export function will be implemented in future versions</t>
  </si>
  <si>
    <t>Функция экспорта будет реализована в следующих версиях</t>
  </si>
  <si>
    <t>Dashboard diagnostics completed. Check Immediate window (Ctrl+G)</t>
  </si>
  <si>
    <t>Диагностика завершена. Смотрите результаты в окне Immediate (Ctrl+G)</t>
  </si>
  <si>
    <t>1C INTEGRATION</t>
  </si>
  <si>
    <t>ИНТЕГРАЦИЯ С 1С</t>
  </si>
  <si>
    <t>Mass Processing</t>
  </si>
  <si>
    <t>Массовая обработка</t>
  </si>
  <si>
    <t>Statistics</t>
  </si>
  <si>
    <t>Статистика</t>
  </si>
  <si>
    <t>Clear Marks</t>
  </si>
  <si>
    <t>Очистить отметки</t>
  </si>
  <si>
    <t>Select Doverennosti journal file</t>
  </si>
  <si>
    <t>Выберите файл журнала доверенностей</t>
  </si>
  <si>
    <t>Select 1C operations journal file</t>
  </si>
  <si>
    <t>Выберите файл журнала операций 1С</t>
  </si>
  <si>
    <t>Select MASTER Doverennosti file (cumulative)</t>
  </si>
  <si>
    <t>Выберите МАСТЕР файл доверенностей (накопительный)</t>
  </si>
  <si>
    <t>Select period Doverennosti file (export)</t>
  </si>
  <si>
    <t>Выберите файл доверенностей за период (выгрузка)</t>
  </si>
  <si>
    <t>Select 1C operations journal file (export)</t>
  </si>
  <si>
    <t>Выберите файл операций 1С (выгрузка)</t>
  </si>
  <si>
    <t>Opening files...</t>
  </si>
  <si>
    <t>Открытие файлов...</t>
  </si>
  <si>
    <t>Merging Doverennosti into master...</t>
  </si>
  <si>
    <t>Слияние доверенностей в мастер-файл...</t>
  </si>
  <si>
    <t>Matching master file with 1C operations...</t>
  </si>
  <si>
    <t>Сопоставление мастер-файла с операциями 1С...</t>
  </si>
  <si>
    <t>Saving master file...</t>
  </si>
  <si>
    <t>Сохранение мастер-файла...</t>
  </si>
  <si>
    <t>Done.</t>
  </si>
  <si>
    <t>Готово.</t>
  </si>
  <si>
    <t xml:space="preserve">Added new records to master: </t>
  </si>
  <si>
    <t xml:space="preserve">Добавлено новых записей в мастер: </t>
  </si>
  <si>
    <t>Doverennosti Matching</t>
  </si>
  <si>
    <t>Сопоставление доверенностей</t>
  </si>
  <si>
    <t xml:space="preserve">3-pass system running: </t>
  </si>
  <si>
    <t xml:space="preserve">Запуск 3-проходной системы: </t>
  </si>
  <si>
    <t xml:space="preserve"> of </t>
  </si>
  <si>
    <t xml:space="preserve"> из </t>
  </si>
  <si>
    <t xml:space="preserve">1st pass: </t>
  </si>
  <si>
    <t xml:space="preserve">1-й проход: </t>
  </si>
  <si>
    <t>Awaiting 2nd pass</t>
  </si>
  <si>
    <t>Ожидает 2-го прохода</t>
  </si>
  <si>
    <t>Awaiting 3rd pass</t>
  </si>
  <si>
    <t>Ожидает 3-го прохода</t>
  </si>
  <si>
    <t>Empty comment</t>
  </si>
  <si>
    <t>Пустой комментарий</t>
  </si>
  <si>
    <t>2nd pass smart (</t>
  </si>
  <si>
    <t>2-й проход (умный) (</t>
  </si>
  <si>
    <t xml:space="preserve"> corr:+</t>
  </si>
  <si>
    <t xml:space="preserve"> корр.:+</t>
  </si>
  <si>
    <t>smart search did not find suitable components</t>
  </si>
  <si>
    <t>умный поиск не нашел подходящих компонентов</t>
  </si>
  <si>
    <t xml:space="preserve">3rd pass: </t>
  </si>
  <si>
    <t xml:space="preserve">3-й проход: </t>
  </si>
  <si>
    <t>Document type not found</t>
  </si>
  <si>
    <t>Тип документа не найден</t>
  </si>
  <si>
    <t>3rd pass: success</t>
  </si>
  <si>
    <t>3-й проход: успешно</t>
  </si>
  <si>
    <t>3rd pass: no number or date</t>
  </si>
  <si>
    <t>3-й проход: нет номера или даты</t>
  </si>
  <si>
    <t xml:space="preserve">found </t>
  </si>
  <si>
    <t xml:space="preserve">найден </t>
  </si>
  <si>
    <t>number or date not found</t>
  </si>
  <si>
    <t>номер или дата не найдены</t>
  </si>
  <si>
    <t>Three-pass search</t>
  </si>
  <si>
    <t>Трехпроходной поиск</t>
  </si>
  <si>
    <t>Operation Number</t>
  </si>
  <si>
    <t>Номер операции</t>
  </si>
  <si>
    <t>Operation Date</t>
  </si>
  <si>
    <t>Дата операции</t>
  </si>
  <si>
    <t>Details</t>
  </si>
  <si>
    <t>Детали</t>
  </si>
  <si>
    <t>1C Comment</t>
  </si>
  <si>
    <t>Комментарий 1С</t>
  </si>
  <si>
    <t>FOUND</t>
  </si>
  <si>
    <t>НАЙДЕНО</t>
  </si>
  <si>
    <t>REQUIRES VERIFICATION</t>
  </si>
  <si>
    <t>ТРЕБУЕТ ПРОВЕРКИ</t>
  </si>
  <si>
    <t>NOT FOUND</t>
  </si>
  <si>
    <t>НЕ НАЙДЕНО</t>
  </si>
  <si>
    <t xml:space="preserve">Total processed: </t>
  </si>
  <si>
    <t xml:space="preserve">Всего обработано: </t>
  </si>
  <si>
    <t xml:space="preserve">1st pass (exact orders): </t>
  </si>
  <si>
    <t xml:space="preserve">1-й проход (точные наряды): </t>
  </si>
  <si>
    <t xml:space="preserve">2nd pass (regex orders): </t>
  </si>
  <si>
    <t xml:space="preserve">2-й проход (наряды regex): </t>
  </si>
  <si>
    <t xml:space="preserve">3rd pass (other documents): </t>
  </si>
  <si>
    <t xml:space="preserve">3-й проход (другие документы): </t>
  </si>
  <si>
    <t xml:space="preserve">   - Allotments: </t>
  </si>
  <si>
    <t xml:space="preserve">   - Разнарядки: </t>
  </si>
  <si>
    <t xml:space="preserve">   - Telegrams: </t>
  </si>
  <si>
    <t xml:space="preserve">   - Телеграммы: </t>
  </si>
  <si>
    <t xml:space="preserve">   - Certificates: </t>
  </si>
  <si>
    <t xml:space="preserve">   - Справки: </t>
  </si>
  <si>
    <t xml:space="preserve">   - Requests: </t>
  </si>
  <si>
    <t xml:space="preserve">   - Заявки: </t>
  </si>
  <si>
    <t xml:space="preserve">Overall result: </t>
  </si>
  <si>
    <t xml:space="preserve">Общий результат: </t>
  </si>
  <si>
    <t xml:space="preserve">Not found: </t>
  </si>
  <si>
    <t xml:space="preserve">Не найдено: </t>
  </si>
  <si>
    <t xml:space="preserve">Skipped operations with empty correspondent: </t>
  </si>
  <si>
    <t xml:space="preserve">Пропущено операций с пустым корреспондентом: </t>
  </si>
  <si>
    <t>COLOR CODING:</t>
  </si>
  <si>
    <t>ЦВЕТОВАЯ КОДИРОВКА:</t>
  </si>
  <si>
    <t>Results in 'Three-pass search' columns</t>
  </si>
  <si>
    <t>Результаты в столбцах 'Трехпроходной поиск'</t>
  </si>
  <si>
    <t>Three-pass system completed</t>
  </si>
  <si>
    <t>Работа трехпроходной системы завершена</t>
  </si>
  <si>
    <t>2nd pass (</t>
  </si>
  <si>
    <t>2-й проход (</t>
  </si>
  <si>
    <t xml:space="preserve">%): </t>
  </si>
  <si>
    <t>supplier+service mismatch</t>
  </si>
  <si>
    <t>несоответствие поставщика+службы</t>
  </si>
  <si>
    <t xml:space="preserve">found number, date and correspondent | 1C: </t>
  </si>
  <si>
    <t xml:space="preserve">найден номер, дата и корреспондент | 1C: </t>
  </si>
  <si>
    <t xml:space="preserve">found number and date, but correspondent mismatch | 1C: </t>
  </si>
  <si>
    <t xml:space="preserve">найден номер и дата, но несоответствие корреспондента | 1C: </t>
  </si>
  <si>
    <t>number, date or correspondent not found</t>
  </si>
  <si>
    <t>номер, дата или корреспондент не найдены</t>
  </si>
  <si>
    <t>No keywords found</t>
  </si>
  <si>
    <t>Ключевые слова не найдены</t>
  </si>
  <si>
    <t>Substring parse: success</t>
  </si>
  <si>
    <t>Парсинг подстроки: успешно</t>
  </si>
  <si>
    <t>Substring parse: no number or date</t>
  </si>
  <si>
    <t>Парсинг подстроки: нет номера или даты</t>
  </si>
  <si>
    <t xml:space="preserve">Parse error: </t>
  </si>
  <si>
    <t>Ошибка парсинга:</t>
  </si>
  <si>
    <t>Enter document amount in rubles (numbers only)</t>
  </si>
  <si>
    <t>Введите сумму документа в рублях (только цифры)</t>
  </si>
  <si>
    <t>Date format: DD.MM.YY (e.g., 15.07.25)</t>
  </si>
  <si>
    <t>Формат даты: ДД.ММ.ГГ (например, 15.07.25)</t>
  </si>
  <si>
    <t>Select a service from the list or enter a new one</t>
  </si>
  <si>
    <t>Выберите службу из списка или введите новую</t>
  </si>
  <si>
    <t>Incoming/outgoing FRP document number</t>
  </si>
  <si>
    <t>Номер входящего/исходящего документа ФРП</t>
  </si>
  <si>
    <t>From whom the document was received or where it was sent</t>
  </si>
  <si>
    <t>От кого поступил документ или куда направлен</t>
  </si>
  <si>
    <t>Select an executor from the list or enter a new one</t>
  </si>
  <si>
    <t>Выберите исполнителя из списка или введите нового</t>
  </si>
  <si>
    <t>Data entry field</t>
  </si>
  <si>
    <t>Поле ввода данных</t>
  </si>
  <si>
    <t>If transfer date to executor is specified, executor must be selected!</t>
  </si>
  <si>
    <t>Если указана дата передачи исполнителю, необходимо выбрать исполнителя!</t>
  </si>
  <si>
    <t>If outgoing number to service is specified, date must be entered!</t>
  </si>
  <si>
    <t>Если указан исходящий номер в службу, необходимо указать дату!</t>
  </si>
  <si>
    <t>If return number is specified, return date must be entered!</t>
  </si>
  <si>
    <t>Если указан номер возврата, необходимо указать дату возврата!</t>
  </si>
  <si>
    <t>If outgoing envelope number is specified, date must be entered!</t>
  </si>
  <si>
    <t>Если указан номер исходящего конверта, необходимо указать дату!</t>
  </si>
  <si>
    <t>Search cleared</t>
  </si>
  <si>
    <t>Поиск очищен</t>
  </si>
  <si>
    <t>Form reset to default settings</t>
  </si>
  <si>
    <t>Форма сброшена к настройкам по умолчанию</t>
  </si>
  <si>
    <t>Select file with processed Doverennosti</t>
  </si>
  <si>
    <t>Выберите файл с обработанными доверенностями</t>
  </si>
  <si>
    <t>Select file with correspondent addresses</t>
  </si>
  <si>
    <t>Выберите файл с адресами корреспондентов</t>
  </si>
  <si>
    <t>Select folder to save letters</t>
  </si>
  <si>
    <t>Выберите папку для сохранения писем</t>
  </si>
  <si>
    <t xml:space="preserve">ERROR: Template not found: </t>
  </si>
  <si>
    <t xml:space="preserve">ОШИБКА: Шаблон не найден: </t>
  </si>
  <si>
    <t>Place the template file in the macro folder.</t>
  </si>
  <si>
    <t>Поместите файл шаблона в папку с макросом.</t>
  </si>
  <si>
    <t>Template Not Found</t>
  </si>
  <si>
    <t>Шаблон не найден</t>
  </si>
  <si>
    <t>ERROR: 'Addresses' sheet not found in the addresses file!</t>
  </si>
  <si>
    <t>ОШИБКА: Лист 'Addresses' не найден в файле адресов!</t>
  </si>
  <si>
    <t>Ensure the sheet is named exactly 'Addresses'</t>
  </si>
  <si>
    <t>Убедитесь, что лист называется ровно 'Addresses'</t>
  </si>
  <si>
    <t>File Structure Invalid</t>
  </si>
  <si>
    <t>Неверная структура файла</t>
  </si>
  <si>
    <t>ERROR: Missing required columns in Doverennosti file:</t>
  </si>
  <si>
    <t>ОШИБКА: Отсутствуют обязательные столбцы в файле доверенностей:</t>
  </si>
  <si>
    <t>Processing stopped. Check file structure.</t>
  </si>
  <si>
    <t>Обработка остановлена. Проверьте структуру файла.</t>
  </si>
  <si>
    <t>Missing Columns</t>
  </si>
  <si>
    <t>Отсутствуют столбцы</t>
  </si>
  <si>
    <t>ERROR: Invalid addresses file structure!</t>
  </si>
  <si>
    <t>ОШИБКА: Неверная структура файла адресов!</t>
  </si>
  <si>
    <t>Expected columns:</t>
  </si>
  <si>
    <t>Ожидаемые столбцы:</t>
  </si>
  <si>
    <t>1. Recipient Name</t>
  </si>
  <si>
    <t>1. Наименование получателя</t>
  </si>
  <si>
    <t>2. Street, building, apartment</t>
  </si>
  <si>
    <t>2. Улица, дом, квартира</t>
  </si>
  <si>
    <t>3. City/Settlement</t>
  </si>
  <si>
    <t>3. Город/Населенный пункт</t>
  </si>
  <si>
    <t>4. District</t>
  </si>
  <si>
    <t>4. Район</t>
  </si>
  <si>
    <t>5. Region/State</t>
  </si>
  <si>
    <t>5. Регион/Область</t>
  </si>
  <si>
    <t>6. Postal Code</t>
  </si>
  <si>
    <t>6. Почтовый индекс</t>
  </si>
  <si>
    <t>Filtering unmatched records...</t>
  </si>
  <si>
    <t>Фильтрация несопоставленных записей...</t>
  </si>
  <si>
    <t>No unmatched records found!</t>
  </si>
  <si>
    <t>Несопоставленные записи не найдены!</t>
  </si>
  <si>
    <t>Grouping by correspondents...</t>
  </si>
  <si>
    <t>Группировка по корреспондентам...</t>
  </si>
  <si>
    <t>Searching for correspondent addresses...</t>
  </si>
  <si>
    <t>Поиск адресов корреспондентов...</t>
  </si>
  <si>
    <t>Creating Word documents...</t>
  </si>
  <si>
    <t>Создание документов Word...</t>
  </si>
  <si>
    <t xml:space="preserve">Filtering row </t>
  </si>
  <si>
    <t xml:space="preserve">Фильтрация строки </t>
  </si>
  <si>
    <t xml:space="preserve">Creating document </t>
  </si>
  <si>
    <t xml:space="preserve">Создание документа </t>
  </si>
  <si>
    <t>ERROR: Template corrupted or unavailable!</t>
  </si>
  <si>
    <t>ОШИБКА: Шаблон поврежден или недоступен!</t>
  </si>
  <si>
    <t xml:space="preserve">Check file: </t>
  </si>
  <si>
    <t xml:space="preserve">Проверьте файл: </t>
  </si>
  <si>
    <t>Template Issue</t>
  </si>
  <si>
    <t>Проблема с шаблоном</t>
  </si>
  <si>
    <t xml:space="preserve">Document filling error: </t>
  </si>
  <si>
    <t xml:space="preserve">Ошибка заполнения документа: </t>
  </si>
  <si>
    <t>Full Name</t>
  </si>
  <si>
    <t>ФИО</t>
  </si>
  <si>
    <t>Recipient Military Unit</t>
  </si>
  <si>
    <t>В/Ч получателя</t>
  </si>
  <si>
    <t>Power of Attorney No. &amp; Date</t>
  </si>
  <si>
    <t>№ и дата доверенности</t>
  </si>
  <si>
    <t>Basis</t>
  </si>
  <si>
    <t>Основание</t>
  </si>
  <si>
    <t xml:space="preserve"> from </t>
  </si>
  <si>
    <t xml:space="preserve"> от </t>
  </si>
  <si>
    <t>Receiving material values</t>
  </si>
  <si>
    <t>Получение материальных ценностей</t>
  </si>
  <si>
    <t>MISSING CORRESPONDENT ADDRESSES REPORT</t>
  </si>
  <si>
    <t>ОТЧЕТ ОБ ОТСУТСТВУЮЩИХ АДРЕСАХ КОРРЕСПОНДЕНТОВ</t>
  </si>
  <si>
    <t xml:space="preserve">Creation Date: </t>
  </si>
  <si>
    <t xml:space="preserve">Дата создания: </t>
  </si>
  <si>
    <t>Author: Evgeniy Kerzhaev, FKU ""95 FES"" MO RF</t>
  </si>
  <si>
    <t>Автор: Кержаев Евгений, ФКУ "95 ФЭС" МО РФ</t>
  </si>
  <si>
    <t>The following correspondents were not found in the addresses file:</t>
  </si>
  <si>
    <t>Следующие корреспонденты не найдены в файле адресов:</t>
  </si>
  <si>
    <t>Please add these addresses to the address file</t>
  </si>
  <si>
    <t>Пожалуйста, добавьте эти адреса в файл адресов</t>
  </si>
  <si>
    <t>to enable letter generation.</t>
  </si>
  <si>
    <t>чтобы включить генерацию писем.</t>
  </si>
  <si>
    <t xml:space="preserve">Total correspondent groups: </t>
  </si>
  <si>
    <t xml:space="preserve">Всего групп корреспондентов: </t>
  </si>
  <si>
    <t xml:space="preserve">Word documents created: </t>
  </si>
  <si>
    <t xml:space="preserve">Создано документов Word: </t>
  </si>
  <si>
    <t xml:space="preserve">Addresses not found: </t>
  </si>
  <si>
    <t xml:space="preserve">Адресов не найдено: </t>
  </si>
  <si>
    <t xml:space="preserve">Files saved in: </t>
  </si>
  <si>
    <t xml:space="preserve">Файлы сохранены в: </t>
  </si>
  <si>
    <t>A missing addresses report has been created.</t>
  </si>
  <si>
    <t>Создан отчет об отсутствующих адресах.</t>
  </si>
  <si>
    <t>Add them to the address file and repeat the procedure.</t>
  </si>
  <si>
    <t>Добавьте их в файл адресов и повторите процедуру.</t>
  </si>
  <si>
    <t>Generation Completed</t>
  </si>
  <si>
    <t>Генерация завершена</t>
  </si>
  <si>
    <t>Enter starting letter number:</t>
  </si>
  <si>
    <t>Введите начальный номер письма:</t>
  </si>
  <si>
    <t>Outgoing Letter Number</t>
  </si>
  <si>
    <t>Номер исходящего письма</t>
  </si>
  <si>
    <t>Enter letter date (dd.mm.yyyy):</t>
  </si>
  <si>
    <t>Введите дату письма (дд.мм.гггг):</t>
  </si>
  <si>
    <t>Outgoing Letter Date</t>
  </si>
  <si>
    <t>Дата исходящего письма</t>
  </si>
  <si>
    <t>Invalid date format! Using current date.</t>
  </si>
  <si>
    <t>Неверный формат даты! Используется текущая дата.</t>
  </si>
  <si>
    <t>Date Error</t>
  </si>
  <si>
    <t>Ошибка даты</t>
  </si>
  <si>
    <t xml:space="preserve">Letter numbering initialization error: </t>
  </si>
  <si>
    <t xml:space="preserve">Ошибка инициализации нумерации писем: </t>
  </si>
  <si>
    <t>January</t>
  </si>
  <si>
    <t>января</t>
  </si>
  <si>
    <t>February</t>
  </si>
  <si>
    <t>февраля</t>
  </si>
  <si>
    <t>March</t>
  </si>
  <si>
    <t>марта</t>
  </si>
  <si>
    <t>April</t>
  </si>
  <si>
    <t>апреля</t>
  </si>
  <si>
    <t>May</t>
  </si>
  <si>
    <t>мая</t>
  </si>
  <si>
    <t>June</t>
  </si>
  <si>
    <t>июня</t>
  </si>
  <si>
    <t>July</t>
  </si>
  <si>
    <t>июля</t>
  </si>
  <si>
    <t>August</t>
  </si>
  <si>
    <t>августа</t>
  </si>
  <si>
    <t>September</t>
  </si>
  <si>
    <t>сентября</t>
  </si>
  <si>
    <t>October</t>
  </si>
  <si>
    <t>октября</t>
  </si>
  <si>
    <t>November</t>
  </si>
  <si>
    <t>ноября</t>
  </si>
  <si>
    <t>December</t>
  </si>
  <si>
    <t>декабря</t>
  </si>
  <si>
    <t>ERROR: Operation columns not found in Doverennosti file!</t>
  </si>
  <si>
    <t>ОШИБКА: Столбцы операций не найдены в файле доверенностей!</t>
  </si>
  <si>
    <t>Update Error</t>
  </si>
  <si>
    <t>Ошибка обновления</t>
  </si>
  <si>
    <t>WARNING!</t>
  </si>
  <si>
    <t>ВНИМАНИЕ!</t>
  </si>
  <si>
    <t>Original file locked.</t>
  </si>
  <si>
    <t>Исходный файл заблокирован.</t>
  </si>
  <si>
    <t>Saved as copy:</t>
  </si>
  <si>
    <t>Сохранен как копия:</t>
  </si>
  <si>
    <t>Saved as copy</t>
  </si>
  <si>
    <t>Сохранено как копия</t>
  </si>
  <si>
    <t>CRITICAL ERROR updating Doverennosti file!</t>
  </si>
  <si>
    <t>КРИТИЧЕСКАЯ ОШИБКА обновления файла доверенностей!</t>
  </si>
  <si>
    <t>Save changes to the current record before navigating?</t>
  </si>
  <si>
    <t>Сохранить изменения в текущей записи перед переходом?</t>
  </si>
  <si>
    <t>Unsaved Changes</t>
  </si>
  <si>
    <t>Несохраненные изменения</t>
  </si>
  <si>
    <t xml:space="preserve">Navigation error: </t>
  </si>
  <si>
    <t xml:space="preserve">Ошибка навигации: </t>
  </si>
  <si>
    <t xml:space="preserve">Record with Seq No </t>
  </si>
  <si>
    <t xml:space="preserve">Запись с порядковым номером </t>
  </si>
  <si>
    <t xml:space="preserve"> not found!</t>
  </si>
  <si>
    <t xml:space="preserve"> не найдена!</t>
  </si>
  <si>
    <t>Record Search</t>
  </si>
  <si>
    <t>Поиск записи</t>
  </si>
  <si>
    <t xml:space="preserve">Error searching for record: </t>
  </si>
  <si>
    <t xml:space="preserve">Ошибка поиска записи: </t>
  </si>
  <si>
    <t xml:space="preserve">Navigation: </t>
  </si>
  <si>
    <t xml:space="preserve">Навигация: </t>
  </si>
  <si>
    <t>Prev.(</t>
  </si>
  <si>
    <t>Пред.(</t>
  </si>
  <si>
    <t xml:space="preserve">) </t>
  </si>
  <si>
    <t>Curr.(</t>
  </si>
  <si>
    <t>Тек.(</t>
  </si>
  <si>
    <t>Next(</t>
  </si>
  <si>
    <t>След.(</t>
  </si>
  <si>
    <t>Last(</t>
  </si>
  <si>
    <t>Последн.(</t>
  </si>
  <si>
    <t>New record</t>
  </si>
  <si>
    <t>No records in table</t>
  </si>
  <si>
    <t>Нет записей в таблице</t>
  </si>
  <si>
    <t xml:space="preserve">Record </t>
  </si>
  <si>
    <t xml:space="preserve">Запись </t>
  </si>
  <si>
    <t>Doc.No.</t>
  </si>
  <si>
    <t>№ Док.</t>
  </si>
  <si>
    <t xml:space="preserve"> (changed)</t>
  </si>
  <si>
    <t xml:space="preserve"> (изменено)</t>
  </si>
  <si>
    <t>Status update error</t>
  </si>
  <si>
    <t>Ошибка обновления статуса</t>
  </si>
  <si>
    <t>Invalid record</t>
  </si>
  <si>
    <t>Недействительная запись</t>
  </si>
  <si>
    <t>Records Summary:</t>
  </si>
  <si>
    <t>Сводка по записям:</t>
  </si>
  <si>
    <t xml:space="preserve">Total records: </t>
  </si>
  <si>
    <t xml:space="preserve">Всего записей: </t>
  </si>
  <si>
    <t xml:space="preserve">Current record: </t>
  </si>
  <si>
    <t xml:space="preserve">Текущая запись: </t>
  </si>
  <si>
    <t>First record: 1</t>
  </si>
  <si>
    <t>Первая запись: 1</t>
  </si>
  <si>
    <t xml:space="preserve">Last record: </t>
  </si>
  <si>
    <t xml:space="preserve">Последняя запись: </t>
  </si>
  <si>
    <t>Status: New record</t>
  </si>
  <si>
    <t>Статус: Новая запись</t>
  </si>
  <si>
    <t>Status: Existing record</t>
  </si>
  <si>
    <t>Статус: Существующая запись</t>
  </si>
  <si>
    <t>Status: Table is empty</t>
  </si>
  <si>
    <t>Статус: Таблица пуста</t>
  </si>
  <si>
    <t>Navigation Summary</t>
  </si>
  <si>
    <t>Сводка навигации</t>
  </si>
  <si>
    <t>Error getting navigation summary</t>
  </si>
  <si>
    <t>Ошибка получения сводки навигации</t>
  </si>
  <si>
    <t>Navigation Help:</t>
  </si>
  <si>
    <t>Справка по навигации:</t>
  </si>
  <si>
    <t>|&lt; First - jump to first record</t>
  </si>
  <si>
    <t>|&lt; Первая - переход к первой записи</t>
  </si>
  <si>
    <t>&lt; Prev. - jump to previous record</t>
  </si>
  <si>
    <t>&lt; Пред. - переход к предыдущей записи</t>
  </si>
  <si>
    <t>Next &gt; - jump to next record</t>
  </si>
  <si>
    <t>След. &gt; - переход к следующей записи</t>
  </si>
  <si>
    <t>Last &gt;| - jump to last record</t>
  </si>
  <si>
    <t>Послед. &gt;| - переход к последней записи</t>
  </si>
  <si>
    <t>Hotkeys:</t>
  </si>
  <si>
    <t>Горячие клавиши:</t>
  </si>
  <si>
    <t>Ctrl+S - save record</t>
  </si>
  <si>
    <t>Ctrl+S - сохранить запись</t>
  </si>
  <si>
    <t>Ctrl+N - new record</t>
  </si>
  <si>
    <t>Ctrl+N - новая запись</t>
  </si>
  <si>
    <t>Ctrl+F - search</t>
  </si>
  <si>
    <t>Ctrl+F - поиск</t>
  </si>
  <si>
    <t>F3 - next search result</t>
  </si>
  <si>
    <t>F3 - следующий результат поиска</t>
  </si>
  <si>
    <t>Esc - cancel changes</t>
  </si>
  <si>
    <t>Esc - отменить изменения</t>
  </si>
  <si>
    <t>Navigation Help</t>
  </si>
  <si>
    <t>Справка по навигации</t>
  </si>
  <si>
    <t>Executing operation</t>
  </si>
  <si>
    <t>Выполнение операции</t>
  </si>
  <si>
    <t xml:space="preserve">Completed: </t>
  </si>
  <si>
    <t xml:space="preserve">Выполнено: </t>
  </si>
  <si>
    <t xml:space="preserve">Time: </t>
  </si>
  <si>
    <t xml:space="preserve">Время: </t>
  </si>
  <si>
    <t>Operation cancelled by user</t>
  </si>
  <si>
    <t>Операция отменена пользователем</t>
  </si>
  <si>
    <t>Select 1C export file</t>
  </si>
  <si>
    <t>Выберите файл выгрузки 1С</t>
  </si>
  <si>
    <t>Opening 1C export file...</t>
  </si>
  <si>
    <t>Открытие файла выгрузки 1С...</t>
  </si>
  <si>
    <t>Starting mass processing...</t>
  </si>
  <si>
    <t>Запуск массовой обработки...</t>
  </si>
  <si>
    <t xml:space="preserve">Processed </t>
  </si>
  <si>
    <t xml:space="preserve">Обработано </t>
  </si>
  <si>
    <t xml:space="preserve"> records</t>
  </si>
  <si>
    <t xml:space="preserve"> записей</t>
  </si>
  <si>
    <t>MASS PROCESSING COMPLETED:</t>
  </si>
  <si>
    <t>МАССОВАЯ ОБРАБОТКА ЗАВЕРШЕНА:</t>
  </si>
  <si>
    <t>--- STATISTICS:</t>
  </si>
  <si>
    <t>--- СТАТИСТИКА:</t>
  </si>
  <si>
    <t xml:space="preserve">Total records in table: </t>
  </si>
  <si>
    <t xml:space="preserve">Всего записей в таблице: </t>
  </si>
  <si>
    <t xml:space="preserve">Processed (without mark): </t>
  </si>
  <si>
    <t xml:space="preserve">Обработано (без отметки): </t>
  </si>
  <si>
    <t xml:space="preserve">Skipped (already filled): </t>
  </si>
  <si>
    <t xml:space="preserve">Пропущено (уже заполнены): </t>
  </si>
  <si>
    <t>--- RESULTS:</t>
  </si>
  <si>
    <t>--- РЕЗУЛЬТАТЫ:</t>
  </si>
  <si>
    <t xml:space="preserve">Found automatically: </t>
  </si>
  <si>
    <t xml:space="preserve">Найдено автоматически: </t>
  </si>
  <si>
    <t xml:space="preserve">Multiple matches: </t>
  </si>
  <si>
    <t xml:space="preserve">Множественные совпадения: </t>
  </si>
  <si>
    <t xml:space="preserve">--- Success rate: </t>
  </si>
  <si>
    <t xml:space="preserve">--- Процент успеха: </t>
  </si>
  <si>
    <t>1C Integration Results</t>
  </si>
  <si>
    <t>Результаты интеграции с 1С</t>
  </si>
  <si>
    <t xml:space="preserve">Integration completed. Found </t>
  </si>
  <si>
    <t xml:space="preserve">Интеграция завершена. Найдено </t>
  </si>
  <si>
    <t xml:space="preserve"> matches out of </t>
  </si>
  <si>
    <t xml:space="preserve"> совпадений из </t>
  </si>
  <si>
    <t xml:space="preserve"> records.</t>
  </si>
  <si>
    <t xml:space="preserve"> записей.</t>
  </si>
  <si>
    <t>Mass processing error:</t>
  </si>
  <si>
    <t>Ошибка массовой обработки:</t>
  </si>
  <si>
    <t>Mass processing error</t>
  </si>
  <si>
    <t>Ошибка массовой обработки</t>
  </si>
  <si>
    <t>Not found</t>
  </si>
  <si>
    <t>Не найдено</t>
  </si>
  <si>
    <t>Export file is empty</t>
  </si>
  <si>
    <t>Файл выгрузки пуст</t>
  </si>
  <si>
    <t>Single match found</t>
  </si>
  <si>
    <t>Найдено единственное совпадение</t>
  </si>
  <si>
    <t xml:space="preserve">Found </t>
  </si>
  <si>
    <t xml:space="preserve">Найдено </t>
  </si>
  <si>
    <t xml:space="preserve"> variants (selected by date)</t>
  </si>
  <si>
    <t xml:space="preserve"> вариантов (выбрано по дате)</t>
  </si>
  <si>
    <t>No match found</t>
  </si>
  <si>
    <t>Совпадений не найдено</t>
  </si>
  <si>
    <t xml:space="preserve">Search error: </t>
  </si>
  <si>
    <t xml:space="preserve">Ошибка поиска: </t>
  </si>
  <si>
    <t xml:space="preserve">Invalid record number: </t>
  </si>
  <si>
    <t xml:space="preserve">Неверный номер записи: </t>
  </si>
  <si>
    <t>Select 1C export file for posting search</t>
  </si>
  <si>
    <t>Выберите файл выгрузки 1С для поиска проводки</t>
  </si>
  <si>
    <t>Searching for posting in 1C file...</t>
  </si>
  <si>
    <t>Поиск проводки в файле 1С...</t>
  </si>
  <si>
    <t>[OK] POSTING FOUND!</t>
  </si>
  <si>
    <t>[OK] ПРОВОДКА НАЙДЕНА!</t>
  </si>
  <si>
    <t xml:space="preserve">Posting Number: </t>
  </si>
  <si>
    <t xml:space="preserve">Номер проводки: </t>
  </si>
  <si>
    <t xml:space="preserve">Posting Date: </t>
  </si>
  <si>
    <t xml:space="preserve">Дата проводки: </t>
  </si>
  <si>
    <t xml:space="preserve">Correspondent: </t>
  </si>
  <si>
    <t xml:space="preserve">Корреспондент: </t>
  </si>
  <si>
    <t>Posting number written to 'Execution Mark'</t>
  </si>
  <si>
    <t>Номер проводки записан в 'Отметку об исполнении'</t>
  </si>
  <si>
    <t>Posting Search</t>
  </si>
  <si>
    <t>Поиск проводки</t>
  </si>
  <si>
    <t>[WARN] POSTING NOT FOUND</t>
  </si>
  <si>
    <t>[ВНИМАНИЕ] ПРОВОДКА НЕ НАЙДЕНА</t>
  </si>
  <si>
    <t>Search criteria:</t>
  </si>
  <si>
    <t>Критерии поиска:</t>
  </si>
  <si>
    <t>Possible reasons:</t>
  </si>
  <si>
    <t>Возможные причины:</t>
  </si>
  <si>
    <t>- Document not yet posted in 1C</t>
  </si>
  <si>
    <t>- Документ еще не проведен в 1С</t>
  </si>
  <si>
    <t>- Сумма или наименование корреспондента отличаются</t>
  </si>
  <si>
    <t>- Document reversed in 1C</t>
  </si>
  <si>
    <t>- Документ сторнирован в 1С</t>
  </si>
  <si>
    <t>Posting search completed</t>
  </si>
  <si>
    <t>Поиск проводки завершен</t>
  </si>
  <si>
    <t>Posting search error:</t>
  </si>
  <si>
    <t>Ошибка поиска проводки:</t>
  </si>
  <si>
    <t>Posting search error</t>
  </si>
  <si>
    <t>Ошибка поиска проводки</t>
  </si>
  <si>
    <t>[INFO] MULTIPLE POSTING VARIANTS FOUND:</t>
  </si>
  <si>
    <t>[ИНФО] НАЙДЕНО НЕСКОЛЬКО ВАРИАНТОВ ПРОВОДКИ:</t>
  </si>
  <si>
    <t>Found variants:</t>
  </si>
  <si>
    <t>Найденные варианты:</t>
  </si>
  <si>
    <t>Enter posting number to save</t>
  </si>
  <si>
    <t>Введите номер проводки для сохранения</t>
  </si>
  <si>
    <t>(or leave empty to cancel):</t>
  </si>
  <si>
    <t>(или оставьте пустым для отмены):</t>
  </si>
  <si>
    <t>Posting Selection</t>
  </si>
  <si>
    <t>Выбор проводки</t>
  </si>
  <si>
    <t xml:space="preserve">[OK] Posting saved: </t>
  </si>
  <si>
    <t xml:space="preserve">[OK] Проводка сохранена: </t>
  </si>
  <si>
    <t>Selection Saved</t>
  </si>
  <si>
    <t>Выбор сохранен</t>
  </si>
  <si>
    <t>Select a record in the table or open form with record</t>
  </si>
  <si>
    <t>Выберите запись в таблице или откройте форму с записью</t>
  </si>
  <si>
    <t>--- 1C MATCHING STATISTICS:</t>
  </si>
  <si>
    <t>--- СТАТИСТИКА СОПОСТАВЛЕНИЯ С 1С:</t>
  </si>
  <si>
    <t xml:space="preserve">Total records in system: </t>
  </si>
  <si>
    <t xml:space="preserve">Всего записей в системе: </t>
  </si>
  <si>
    <t xml:space="preserve">With execution mark: </t>
  </si>
  <si>
    <t xml:space="preserve">С отметкой об исполнении: </t>
  </si>
  <si>
    <t xml:space="preserve">Without execution mark: </t>
  </si>
  <si>
    <t xml:space="preserve">Без отметки об исполнении: </t>
  </si>
  <si>
    <t>Recommendation: Use 'Mass processing' to</t>
  </si>
  <si>
    <t>Рекомендация: Используйте 'Массовую обработку' для</t>
  </si>
  <si>
    <t>automatically fill empty marks.</t>
  </si>
  <si>
    <t>автоматического заполнения пустых отметок.</t>
  </si>
  <si>
    <t>Integration Statistics</t>
  </si>
  <si>
    <t>Статистика интеграции</t>
  </si>
  <si>
    <t>[WARN] ATTENTION!</t>
  </si>
  <si>
    <t>[ВНИМАНИЕ] ОСТОРОЖНО!</t>
  </si>
  <si>
    <t>You are about to clear ALL execution marks</t>
  </si>
  <si>
    <t>Вы собираетесь очистить ВСЕ отметки об исполнении</t>
  </si>
  <si>
    <t>in the TableIncOut table.</t>
  </si>
  <si>
    <t>в таблице 'ВходящиеИсходящие'.</t>
  </si>
  <si>
    <t>This action cannot be undone!</t>
  </si>
  <si>
    <t>Это действие невозможно отменить!</t>
  </si>
  <si>
    <t>Continue?</t>
  </si>
  <si>
    <t>Продолжить?</t>
  </si>
  <si>
    <t>Clear Confirmation</t>
  </si>
  <si>
    <t>Подтверждение очистки</t>
  </si>
  <si>
    <t>Clearing execution marks...</t>
  </si>
  <si>
    <t>Очистка отметок об исполнении...</t>
  </si>
  <si>
    <t>[OK] Clearing completed!</t>
  </si>
  <si>
    <t>[OK] Очистка завершена!</t>
  </si>
  <si>
    <t xml:space="preserve">Records cleared: </t>
  </si>
  <si>
    <t xml:space="preserve">Очищено записей: </t>
  </si>
  <si>
    <t>Clearing Executed</t>
  </si>
  <si>
    <t>Очистка выполнена</t>
  </si>
  <si>
    <t xml:space="preserve">Marks clearing completed. Cleared </t>
  </si>
  <si>
    <t>Очистка отметок завершена. Очищено</t>
  </si>
  <si>
    <t>IncOut ribbon loaded</t>
  </si>
  <si>
    <t>Лента 'ВхИсх' загружена</t>
  </si>
  <si>
    <t>Mass processing started</t>
  </si>
  <si>
    <t>Массовая обработка запущена</t>
  </si>
  <si>
    <t>Warning: Failed to create a backup.</t>
  </si>
  <si>
    <t>Внимание: Не удалось создать резервную копию.</t>
  </si>
  <si>
    <t>The operation will be executed without backup.</t>
  </si>
  <si>
    <t>Операция будет выполнена без резервной копии.</t>
  </si>
  <si>
    <t>Mass processing of records</t>
  </si>
  <si>
    <t>Массовая обработка записей</t>
  </si>
  <si>
    <t>Mass processing completed</t>
  </si>
  <si>
    <t xml:space="preserve">Error code: </t>
  </si>
  <si>
    <t xml:space="preserve">Код ошибки: </t>
  </si>
  <si>
    <t xml:space="preserve">Description: </t>
  </si>
  <si>
    <t xml:space="preserve">Описание: </t>
  </si>
  <si>
    <t xml:space="preserve">Source: </t>
  </si>
  <si>
    <t xml:space="preserve">Источник: </t>
  </si>
  <si>
    <t>Critical Mass Processing Error</t>
  </si>
  <si>
    <t>Критическая ошибка массовой обработки</t>
  </si>
  <si>
    <t>Integration statistics shown</t>
  </si>
  <si>
    <t>Показана статистика интеграции</t>
  </si>
  <si>
    <t>Failed to create a backup. Operation cancelled.</t>
  </si>
  <si>
    <t>Не удалось создать резервную копию. Операция отменена.</t>
  </si>
  <si>
    <t>Backup Error</t>
  </si>
  <si>
    <t>Ошибка резервного копирования</t>
  </si>
  <si>
    <t>Execution marks cleared</t>
  </si>
  <si>
    <t>Отметки об исполнении очищены</t>
  </si>
  <si>
    <t xml:space="preserve">Clear error: </t>
  </si>
  <si>
    <t xml:space="preserve">Ошибка очистки: </t>
  </si>
  <si>
    <t xml:space="preserve">Error clearing marks: </t>
  </si>
  <si>
    <t xml:space="preserve">Ошибка очистки отметок: </t>
  </si>
  <si>
    <t>Starting Doverennosti matching</t>
  </si>
  <si>
    <t>Doverennosti matching completed</t>
  </si>
  <si>
    <t>Doverennosti matching error:</t>
  </si>
  <si>
    <t>Ошибка сопоставления доверенностей:</t>
  </si>
  <si>
    <t>Starting Word letters generation</t>
  </si>
  <si>
    <t>Запуск генерации писем Word</t>
  </si>
  <si>
    <t>Generating Word letters</t>
  </si>
  <si>
    <t>Генерация писем Word</t>
  </si>
  <si>
    <t>Letters generation completed successfully</t>
  </si>
  <si>
    <t>Генерация писем успешно завершена</t>
  </si>
  <si>
    <t>Letter generation error:</t>
  </si>
  <si>
    <t>Ошибка генерации писем:</t>
  </si>
  <si>
    <t>Please check:</t>
  </si>
  <si>
    <t>Пожалуйста, проверьте:</t>
  </si>
  <si>
    <t>- Наличие файлов доверенностей и адресов</t>
  </si>
  <si>
    <t>- Корректность шаблона Word</t>
  </si>
  <si>
    <t>- Права на запись в выбранную папку</t>
  </si>
  <si>
    <t>Word Letters Generation Error</t>
  </si>
  <si>
    <t>Ошибка генерации писем Word</t>
  </si>
  <si>
    <t>System settings opened</t>
  </si>
  <si>
    <t>Настройки системы открыты</t>
  </si>
  <si>
    <t>Operation log opened</t>
  </si>
  <si>
    <t>Журнал операций открыт</t>
  </si>
  <si>
    <t>Backup manager opened</t>
  </si>
  <si>
    <t>Менеджер резервных копий открыт</t>
  </si>
  <si>
    <t>System help opened</t>
  </si>
  <si>
    <t>Справка по системе открыта</t>
  </si>
  <si>
    <t>INCOMING AND OUTGOING DOCUMENTS SYSTEM</t>
  </si>
  <si>
    <t>СИСТЕМА УЧЕТА ВХОДЯЩИХ И ИСХОДЯЩИХ ДОКУМЕНТОВ</t>
  </si>
  <si>
    <t>[1C INTEGRATION]:</t>
  </si>
  <si>
    <t>[ИНТЕГРАЦИЯ С 1С]:</t>
  </si>
  <si>
    <t>- Массовая обработка - автоматическое сопоставление проводок</t>
  </si>
  <si>
    <t>- Статистика - отчет о результатах интеграции</t>
  </si>
  <si>
    <t>- Очистить отметки - сброс для повторной обработки</t>
  </si>
  <si>
    <t>[DOVERENNOSTI ANALYSIS]: (Stage 2)</t>
  </si>
  <si>
    <t>[АНАЛИЗ ДОВЕРЕННОСТЕЙ]: (Этап 2)</t>
  </si>
  <si>
    <t>- Сопоставление доверенностей с операциями</t>
  </si>
  <si>
    <t>- Анализ документооборота</t>
  </si>
  <si>
    <t>[SETTINGS AND REPORTS]:</t>
  </si>
  <si>
    <t>[НАСТРОЙКИ И ОТЧЕТЫ]:</t>
  </si>
  <si>
    <t>- Настройки - конфигурация системы</t>
  </si>
  <si>
    <t>- Журнал - лог всех операций</t>
  </si>
  <si>
    <t>- Резервные копии - управление копиями</t>
  </si>
  <si>
    <t xml:space="preserve">Version: </t>
  </si>
  <si>
    <t xml:space="preserve">Версия: </t>
  </si>
  <si>
    <t xml:space="preserve">Date: </t>
  </si>
  <si>
    <t xml:space="preserve">Дата: </t>
  </si>
  <si>
    <t>Author: Evgeniy Kerzhaev, FKU '95 FES' MO RF</t>
  </si>
  <si>
    <t>IncOut System Help</t>
  </si>
  <si>
    <t>Справка по системе 'ВхИсх'</t>
  </si>
  <si>
    <t>Enter text to search</t>
  </si>
  <si>
    <t>Введите текст для поиска</t>
  </si>
  <si>
    <t>FRP:</t>
  </si>
  <si>
    <t>ФРП:</t>
  </si>
  <si>
    <t xml:space="preserve">From: </t>
  </si>
  <si>
    <t xml:space="preserve">От: </t>
  </si>
  <si>
    <t xml:space="preserve">Exec.: </t>
  </si>
  <si>
    <t xml:space="preserve">Исп.: </t>
  </si>
  <si>
    <t xml:space="preserve">Status: </t>
  </si>
  <si>
    <t xml:space="preserve">Статус: </t>
  </si>
  <si>
    <t xml:space="preserve">Found: </t>
  </si>
  <si>
    <t xml:space="preserve">Найдено: </t>
  </si>
  <si>
    <t xml:space="preserve"> records | </t>
  </si>
  <si>
    <t xml:space="preserve"> записей | </t>
  </si>
  <si>
    <t xml:space="preserve">Navigation: ^v or click to jump | </t>
  </si>
  <si>
    <t xml:space="preserve">Навигация: ^v или клик для перехода | </t>
  </si>
  <si>
    <t>Search remains active</t>
  </si>
  <si>
    <t>Поиск остается активным</t>
  </si>
  <si>
    <t>For query '</t>
  </si>
  <si>
    <t>По запросу '</t>
  </si>
  <si>
    <t>' nothing found</t>
  </si>
  <si>
    <t>' ничего не найдено</t>
  </si>
  <si>
    <t>Jump to record No.</t>
  </si>
  <si>
    <t>Переход к записи №</t>
  </si>
  <si>
    <t>Search active: "</t>
  </si>
  <si>
    <t>Активный поиск: "</t>
  </si>
  <si>
    <t xml:space="preserve">Error selecting search result: </t>
  </si>
  <si>
    <t xml:space="preserve">Ошибка выбора результата поиска: </t>
  </si>
  <si>
    <t>Active search: "</t>
  </si>
  <si>
    <t xml:space="preserve">Selected: </t>
  </si>
  <si>
    <t xml:space="preserve">Выбрано: </t>
  </si>
  <si>
    <t>Search inactive</t>
  </si>
  <si>
    <t>Поиск неактивен</t>
  </si>
  <si>
    <t xml:space="preserve"> THREE-PASS SYSTEM RESULTS </t>
  </si>
  <si>
    <t xml:space="preserve"> РЕЗУЛЬТАТЫ 3-ПРОХОДНОЙ СИСТЕМЫ </t>
  </si>
  <si>
    <t>Dark Green  1st pass (exact orders)</t>
  </si>
  <si>
    <t>Темно-зеленый  1-й проход (точные наряды)</t>
  </si>
  <si>
    <t>Light Green  2nd pass (regex orders)</t>
  </si>
  <si>
    <t>Светло-зеленый  2-й проход (наряды regex)</t>
  </si>
  <si>
    <t>Blue  3rd pass (other documents)</t>
  </si>
  <si>
    <t>Синий  3-й проход (другие документы)</t>
  </si>
  <si>
    <t xml:space="preserve"> LETTER GENERATION RESULTS </t>
  </si>
  <si>
    <t xml:space="preserve"> РЕЗУЛЬТАТЫ ГЕНЕРАЦИИ ПИСЕМ </t>
  </si>
  <si>
    <t>- Amount or correspondent name differs</t>
  </si>
  <si>
    <t>- Presence of doverennosti and addresses files</t>
  </si>
  <si>
    <t>- Word template correctness</t>
  </si>
  <si>
    <t>- Write permissions for the selected folder</t>
  </si>
  <si>
    <t>- Mass processing - automatic matching of postings</t>
  </si>
  <si>
    <t>- STATISTICS - report on integration RESULTS</t>
  </si>
  <si>
    <t>- Clear marks - reset for reprocessing</t>
  </si>
  <si>
    <t>- matching doverennosti with operations</t>
  </si>
  <si>
    <t>- Workflow analysis</t>
  </si>
  <si>
    <t>- Settings - system configuration</t>
  </si>
  <si>
    <t>- Log - journal of all operations</t>
  </si>
  <si>
    <t>- Backups - backup management</t>
  </si>
  <si>
    <t>Дата/Время</t>
  </si>
  <si>
    <t>Операция</t>
  </si>
  <si>
    <t>Время выполнения (сек)</t>
  </si>
  <si>
    <t>Пользователь</t>
  </si>
  <si>
    <t>Operation log opened.</t>
  </si>
  <si>
    <t>Журнал операций открыт.</t>
  </si>
  <si>
    <t>Use filters to find necessary records.</t>
  </si>
  <si>
    <t>Используйте фильтры для поиска нужных записей.</t>
  </si>
  <si>
    <t>Press OK to hide the log after viewing.</t>
  </si>
  <si>
    <t>Нажмите OK, чтобы скрыть журнал после просмотра.</t>
  </si>
  <si>
    <t>Operation Log</t>
  </si>
  <si>
    <t>Журнал операций</t>
  </si>
  <si>
    <t xml:space="preserve">Error opening log: </t>
  </si>
  <si>
    <t xml:space="preserve">Ошибка открытия журнала: </t>
  </si>
  <si>
    <t>Clear the entire operation log?</t>
  </si>
  <si>
    <t>Очистить весь журнал операций?</t>
  </si>
  <si>
    <t>Operation log cleared.</t>
  </si>
  <si>
    <t>Журнал операций очищен.</t>
  </si>
  <si>
    <t>Clearing Completed</t>
  </si>
  <si>
    <t>Очистка завершена</t>
  </si>
  <si>
    <t>Parameter</t>
  </si>
  <si>
    <t>Value</t>
  </si>
  <si>
    <t>Create backups before operations</t>
  </si>
  <si>
    <t>Создавать резервные копии перед операциями</t>
  </si>
  <si>
    <t>Maximum number of backup copies</t>
  </si>
  <si>
    <t>Максимальное количество резервных копий</t>
  </si>
  <si>
    <t>Path to save backup copies</t>
  </si>
  <si>
    <t>Путь для сохранения резервных копий</t>
  </si>
  <si>
    <t>Enable operation logging</t>
  </si>
  <si>
    <t>Включить журналирование операций</t>
  </si>
  <si>
    <t>Maximum number of log records</t>
  </si>
  <si>
    <t>Максимальное количество записей в журнале</t>
  </si>
  <si>
    <t>Progress bar update interval (records)</t>
  </si>
  <si>
    <t>Интервал обновления прогресс-бара (записей)</t>
  </si>
  <si>
    <t>Default file formats</t>
  </si>
  <si>
    <t>Форматы файлов по умолчанию</t>
  </si>
  <si>
    <t>Match threshold for auto-matching (%)</t>
  </si>
  <si>
    <t>Порог совпадения для авто-сопоставления (%)</t>
  </si>
  <si>
    <t>Allowed date difference (days)</t>
  </si>
  <si>
    <t>Допустимая разница в датах (дней)</t>
  </si>
  <si>
    <t>Automatically select best match</t>
  </si>
  <si>
    <t>Автоматически выбирать лучшее совпадение</t>
  </si>
  <si>
    <t xml:space="preserve">Error saving setting: </t>
  </si>
  <si>
    <t xml:space="preserve">Ошибка сохранения настройки: </t>
  </si>
  <si>
    <t>Settings Error</t>
  </si>
  <si>
    <t>Ошибка настроек</t>
  </si>
  <si>
    <t>Settings sheet opened for editing.</t>
  </si>
  <si>
    <t>Лист настроек открыт для редактирования.</t>
  </si>
  <si>
    <t>After making changes, press OK to hide the sheet.</t>
  </si>
  <si>
    <t>После внесения изменений нажмите ОК, чтобы скрыть лист.</t>
  </si>
  <si>
    <t>Edit Settings</t>
  </si>
  <si>
    <t>Редактирование настроек</t>
  </si>
  <si>
    <t xml:space="preserve">Error opening settings: </t>
  </si>
  <si>
    <t>Ошибка открытия настроек:</t>
  </si>
  <si>
    <t>Table is empty. Add data to work with the system.</t>
  </si>
  <si>
    <t>Таблица пуста. Добавьте данные для работы с системой.</t>
  </si>
  <si>
    <t xml:space="preserve"> | Ctrl+E to edit | </t>
  </si>
  <si>
    <t xml:space="preserve"> | Ctrl+E для редактирования | </t>
  </si>
  <si>
    <t>Interactive forms system is active. Select a table cell.</t>
  </si>
  <si>
    <t>Система интерактивных форм активна. Выберите ячейку таблицы.</t>
  </si>
  <si>
    <t>Empty Table</t>
  </si>
  <si>
    <t>Пустая таблица</t>
  </si>
  <si>
    <t>Error</t>
  </si>
  <si>
    <t>Ошибка</t>
  </si>
  <si>
    <t xml:space="preserve">Sheet: </t>
  </si>
  <si>
    <t xml:space="preserve">Лист: </t>
  </si>
  <si>
    <t>NOT SET</t>
  </si>
  <si>
    <t>НЕ ЗАДАН</t>
  </si>
  <si>
    <t xml:space="preserve">Table: </t>
  </si>
  <si>
    <t xml:space="preserve">Таблица: </t>
  </si>
  <si>
    <t xml:space="preserve">Rows: </t>
  </si>
  <si>
    <t>Строки:</t>
  </si>
  <si>
    <t>Система 'ВхИсх' запущена</t>
  </si>
  <si>
    <t>Table sheet is active. Select a cell and press Ctrl+E to edit.</t>
  </si>
  <si>
    <t>Лист таблицы активен. Выберите ячейку и нажмите Ctrl+E для редактирования.</t>
  </si>
  <si>
    <t>Double click processed - opening edit form</t>
  </si>
  <si>
    <t>Двойной клик обработан - открытие формы</t>
  </si>
  <si>
    <t xml:space="preserve">Right click on row </t>
  </si>
  <si>
    <t xml:space="preserve">Правый клик по строке </t>
  </si>
  <si>
    <t xml:space="preserve">, col </t>
  </si>
  <si>
    <t xml:space="preserve">, колонка </t>
  </si>
  <si>
    <t xml:space="preserve"> - context menu shown</t>
  </si>
  <si>
    <t xml:space="preserve"> - показано контекстное меню</t>
  </si>
  <si>
    <t>IncOut sheet activated - interactive forms system ready to work</t>
  </si>
  <si>
    <t>Лист 'ВхИсх' активирован - система интерактивных форм готова к работе</t>
  </si>
  <si>
    <t>IncOut sheet deactivated</t>
  </si>
  <si>
    <t>Лист 'ВхИсх' деактивирован</t>
  </si>
  <si>
    <t>Table data changed - changes saved automatically</t>
  </si>
  <si>
    <t>Данные таблицы изменены - изменения сохранены автоматически</t>
  </si>
  <si>
    <t xml:space="preserve">Row: </t>
  </si>
  <si>
    <t xml:space="preserve">Строка: </t>
  </si>
  <si>
    <t xml:space="preserve">, Col: </t>
  </si>
  <si>
    <t xml:space="preserve">, Колонка: </t>
  </si>
  <si>
    <t>No right click information</t>
  </si>
  <si>
    <t>Нет информации о правом клике</t>
  </si>
  <si>
    <t xml:space="preserve">Cell selected: row </t>
  </si>
  <si>
    <t xml:space="preserve">Выбрана ячейка: строка </t>
  </si>
  <si>
    <t>Invalid table structure!</t>
  </si>
  <si>
    <t>Неверная структура таблицы!</t>
  </si>
  <si>
    <t xml:space="preserve">Expected columns: </t>
  </si>
  <si>
    <t xml:space="preserve">Ожидалось столбцов: </t>
  </si>
  <si>
    <t xml:space="preserve">Found columns: </t>
  </si>
  <si>
    <t xml:space="preserve">Найдено столбцов: </t>
  </si>
  <si>
    <t>Table Structure Error</t>
  </si>
  <si>
    <t>Ошибка структуры таблицы</t>
  </si>
  <si>
    <t>EVENTS INFO FOR 'IncOut' SHEET:</t>
  </si>
  <si>
    <t>ИНФОРМАЦИЯ О СОБЫТИЯХ ЛИСТА 'ВхИсх':</t>
  </si>
  <si>
    <t xml:space="preserve">Table found: </t>
  </si>
  <si>
    <t xml:space="preserve">Таблица найдена: </t>
  </si>
  <si>
    <t xml:space="preserve">Columns: </t>
  </si>
  <si>
    <t xml:space="preserve">Столбцов: </t>
  </si>
  <si>
    <t xml:space="preserve">Data rows: </t>
  </si>
  <si>
    <t xml:space="preserve">Строк с данными: </t>
  </si>
  <si>
    <t>Table NOT found!</t>
  </si>
  <si>
    <t>Таблица НЕ найдена!</t>
  </si>
  <si>
    <t xml:space="preserve">Last right click: </t>
  </si>
  <si>
    <t xml:space="preserve">Последний правый клик: </t>
  </si>
  <si>
    <t xml:space="preserve">Click in table: </t>
  </si>
  <si>
    <t xml:space="preserve">Клик в таблице: </t>
  </si>
  <si>
    <t>YES</t>
  </si>
  <si>
    <t>ДА</t>
  </si>
  <si>
    <t>NO</t>
  </si>
  <si>
    <t>НЕТ</t>
  </si>
  <si>
    <t xml:space="preserve">Current table selection: row </t>
  </si>
  <si>
    <t xml:space="preserve">Текущий выбор в таблице: строка </t>
  </si>
  <si>
    <t xml:space="preserve">Table validation status: </t>
  </si>
  <si>
    <t xml:space="preserve">Статус валидации таблицы: </t>
  </si>
  <si>
    <t>VALID</t>
  </si>
  <si>
    <t>ВАЛИДНА</t>
  </si>
  <si>
    <t>ERROR</t>
  </si>
  <si>
    <t>ОШИБКА</t>
  </si>
  <si>
    <t>Worksheet Events Diagnostics</t>
  </si>
  <si>
    <t>Диагностика событий листа</t>
  </si>
  <si>
    <t xml:space="preserve">Error getting events info: </t>
  </si>
  <si>
    <t>Ошибка получения инфо о событиях:</t>
  </si>
  <si>
    <t>Settings</t>
  </si>
  <si>
    <t>Ключевое слово</t>
  </si>
  <si>
    <t>Системный код</t>
  </si>
  <si>
    <t>наряд</t>
  </si>
  <si>
    <t>ORDER</t>
  </si>
  <si>
    <t>чт</t>
  </si>
  <si>
    <t>CHT</t>
  </si>
  <si>
    <t>аттестат</t>
  </si>
  <si>
    <t>CERTIFICATE</t>
  </si>
  <si>
    <t>разнарядка</t>
  </si>
  <si>
    <t>ALLOTMENT</t>
  </si>
  <si>
    <t>заявка-наряд</t>
  </si>
  <si>
    <t>ORDER-REQUEST</t>
  </si>
  <si>
    <t>ShowLog</t>
  </si>
  <si>
    <t>RibbonLoad</t>
  </si>
  <si>
    <t>Created backup: IncOut_MassProcess_20260308_011214.xlsm</t>
  </si>
  <si>
    <t>прод</t>
  </si>
  <si>
    <t>акт сверки</t>
  </si>
  <si>
    <t>иванов</t>
  </si>
  <si>
    <t>рав</t>
  </si>
  <si>
    <t>акт</t>
  </si>
  <si>
    <t>вещевая</t>
  </si>
  <si>
    <t>сидоров</t>
  </si>
  <si>
    <t>полигон</t>
  </si>
  <si>
    <t>Services</t>
  </si>
  <si>
    <t>Document Types</t>
  </si>
  <si>
    <t>Executors</t>
  </si>
  <si>
    <t>кузнецов</t>
  </si>
  <si>
    <t>SUPPLIER</t>
  </si>
  <si>
    <t>Поставщик</t>
  </si>
  <si>
    <t>CORRESPONDENT</t>
  </si>
  <si>
    <t>Корреспондент</t>
  </si>
  <si>
    <t>ADDRESSEE</t>
  </si>
  <si>
    <t>Адресат</t>
  </si>
  <si>
    <t>Активная запись</t>
  </si>
  <si>
    <t>Acnive field:</t>
  </si>
  <si>
    <t>Dark Green = 1st pass (exact orders)</t>
  </si>
  <si>
    <t>Темно-зеленый = 1-й проход (точные наряды)</t>
  </si>
  <si>
    <t>Blue = 3rd pass (other documents)</t>
  </si>
  <si>
    <t>Синий = 3-й проход (другие документы)</t>
  </si>
  <si>
    <t>Light Green = 2nd pass (regex orders)</t>
  </si>
  <si>
    <t>Светло-зеленый = 2-й проход (наряды regex)</t>
  </si>
  <si>
    <t>=== THREE-PASS SYSTEM RESULTS ===</t>
  </si>
  <si>
    <t>=== РЕЗУЛЬТАТЫ ТРЕХПРОХОДНОЙ СИСТЕМЫ ===</t>
  </si>
  <si>
    <t>PackageId</t>
  </si>
  <si>
    <t>PackageType</t>
  </si>
  <si>
    <t>AssetCategory</t>
  </si>
  <si>
    <t>DocumentStage</t>
  </si>
  <si>
    <t>CounterpartyNormalized</t>
  </si>
  <si>
    <t>HasChildDocuments</t>
  </si>
  <si>
    <t>ChildDocumentsCount</t>
  </si>
  <si>
    <t>ChildrenTotalAmount</t>
  </si>
  <si>
    <t>PackageAmountCheckStatus</t>
  </si>
  <si>
    <t>Primary1COperationNumber</t>
  </si>
  <si>
    <t>Primary1COperationDate</t>
  </si>
  <si>
    <t>Primary1CMatchStatus</t>
  </si>
  <si>
    <t>ItemId</t>
  </si>
  <si>
    <t>ItemOrder</t>
  </si>
  <si>
    <t>ItemDocumentType</t>
  </si>
  <si>
    <t>ItemDocumentTypeDisplay</t>
  </si>
  <si>
    <t>ItemDocumentNumber</t>
  </si>
  <si>
    <t>ItemDocumentDate</t>
  </si>
  <si>
    <t>ItemAmount</t>
  </si>
  <si>
    <t>CounterpartyName</t>
  </si>
  <si>
    <t>Direction</t>
  </si>
  <si>
    <t>OrderInfo</t>
  </si>
  <si>
    <t>FRPNumber</t>
  </si>
  <si>
    <t>FRPDate</t>
  </si>
  <si>
    <t>ItemAssetCategory</t>
  </si>
  <si>
    <t>ItemDescription</t>
  </si>
  <si>
    <t>ItemQuantity</t>
  </si>
  <si>
    <t>ItemUnit</t>
  </si>
  <si>
    <t>BaseDocumentType</t>
  </si>
  <si>
    <t>BaseDocumentNumber</t>
  </si>
  <si>
    <t>BaseDocumentDate</t>
  </si>
  <si>
    <t>Matched1COperationNumber</t>
  </si>
  <si>
    <t>Matched1COperationDate</t>
  </si>
  <si>
    <t>Matched1CMatchStatus</t>
  </si>
  <si>
    <t>Matched1CConfidence</t>
  </si>
  <si>
    <t>Matched1CComment</t>
  </si>
  <si>
    <t>Matched1CMode</t>
  </si>
  <si>
    <t>IsPostedSeparately</t>
  </si>
  <si>
    <t>Notes</t>
  </si>
  <si>
    <t>CreatedAt</t>
  </si>
  <si>
    <t>UpdatedAt</t>
  </si>
  <si>
    <t>Duplicate</t>
  </si>
  <si>
    <t>Дублировать</t>
  </si>
  <si>
    <t>Fill From Package</t>
  </si>
  <si>
    <t>Заполнить из пакета</t>
  </si>
  <si>
    <t>Package document item duplicated.</t>
  </si>
  <si>
    <t>Документ пакета продублирован.</t>
  </si>
  <si>
    <t xml:space="preserve">Error duplicating package document item: </t>
  </si>
  <si>
    <t xml:space="preserve">Ошибка дублирования документа пакета: </t>
  </si>
  <si>
    <t>Copied from package</t>
  </si>
  <si>
    <t>Скопировано из пакета</t>
  </si>
  <si>
    <t>1C Operation No.</t>
  </si>
  <si>
    <t>Операция 1С №</t>
  </si>
  <si>
    <t>1C Operation Date</t>
  </si>
  <si>
    <t>Дата операции 1С</t>
  </si>
  <si>
    <t>1C Status</t>
  </si>
  <si>
    <t>Статус 1С</t>
  </si>
  <si>
    <t>Exact</t>
  </si>
  <si>
    <t>Точное совпадение</t>
  </si>
  <si>
    <t>Candidate</t>
  </si>
  <si>
    <t>Кандидат</t>
  </si>
  <si>
    <t>Manual</t>
  </si>
  <si>
    <t>Ручное сопоставление</t>
  </si>
  <si>
    <t>PKG-20260410011047-6906</t>
  </si>
  <si>
    <t>not_checked</t>
  </si>
  <si>
    <t>BASE-100</t>
  </si>
  <si>
    <t>smoke</t>
  </si>
  <si>
    <t>PKG-20260410013937-3598</t>
  </si>
  <si>
    <t>ITM-20260410013937-4975</t>
  </si>
  <si>
    <t>АКТ_СВЕРКИ</t>
  </si>
  <si>
    <t>SMOKE-1</t>
  </si>
  <si>
    <t>manual</t>
  </si>
  <si>
    <t>mismatch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</si>
</sst>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dd\.mm\.yyyy\ hh:mm"/>
    <numFmt numFmtId="165" formatCode="0.0%"/>
    <numFmt numFmtId="166" formatCode="0.0"/>
    <numFmt numFmtId="167" formatCode="dd\.mm\.yyyy\ hh:mm:ss"/>
    <numFmt numFmtId="168" formatCode="dd\.mm\.yyyy"/>
    <numFmt numFmtId="169" formatCode="m/d/yyyy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  <charset val="204"/>
    </font>
    <font>
      <sz val="11"/>
      <color rgb="FF4D4D4C"/>
      <name val="Courier New"/>
      <family val="3"/>
      <charset val="204"/>
    </font>
    <font>
      <sz val="18"/>
      <color rgb="FF4D4D4C"/>
      <name val="Arial"/>
      <family val="2"/>
      <charset val="204"/>
    </font>
    <font>
      <sz val="14"/>
      <color rgb="FF4D4D4C"/>
      <name val="Courier New"/>
      <family val="3"/>
      <charset val="204"/>
    </font>
    <font>
      <b/>
      <sz val="10"/>
      <color rgb="FF0000FF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0"/>
      <color rgb="FF00008B"/>
      <name val="Arial"/>
      <family val="2"/>
      <charset val="204"/>
    </font>
    <font>
      <i/>
      <sz val="10"/>
      <color rgb="FF969696"/>
      <name val="Arial"/>
      <family val="2"/>
      <charset val="204"/>
    </font>
    <font>
      <i/>
      <sz val="10"/>
      <color theme="1"/>
      <name val="Arial"/>
      <family val="2"/>
      <charset val="204"/>
    </font>
    <font>
      <i/>
      <sz val="9"/>
      <color rgb="FF646464"/>
      <name val="Arial"/>
      <family val="2"/>
      <charset val="204"/>
    </font>
    <font>
      <i/>
      <sz val="9"/>
      <color rgb="FFC86400"/>
      <name val="Arial"/>
      <family val="2"/>
      <charset val="204"/>
    </font>
    <font>
      <i/>
      <sz val="9"/>
      <color rgb="FFC80000"/>
      <name val="Arial"/>
      <family val="2"/>
      <charset val="204"/>
    </font>
    <font>
      <sz val="9"/>
      <color theme="1"/>
      <name val="Segoe UI"/>
      <family val="2"/>
      <charset val="204"/>
    </font>
    <font>
      <b/>
      <sz val="9"/>
      <color theme="1"/>
      <name val="Segoe UI"/>
      <family val="2"/>
      <charset val="204"/>
    </font>
    <font>
      <b/>
      <sz val="9"/>
      <color rgb="FF00008B"/>
      <name val="Segoe UI"/>
      <family val="2"/>
      <charset val="204"/>
    </font>
    <font>
      <b/>
      <sz val="9"/>
      <color rgb="FF960000"/>
      <name val="Segoe UI"/>
      <family val="2"/>
      <charset val="204"/>
    </font>
    <font>
      <sz val="9"/>
      <color rgb="FF966400"/>
      <name val="Segoe UI"/>
      <family val="2"/>
      <charset val="204"/>
    </font>
    <font>
      <b/>
      <sz val="9"/>
      <color rgb="FF8B0000"/>
      <name val="Segoe UI"/>
      <family val="2"/>
      <charset val="204"/>
    </font>
    <font>
      <sz val="8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sz val="9"/>
      <color rgb="FF0D0D0D"/>
      <name val="Consolas"/>
      <family val="3"/>
      <charset val="204"/>
    </font>
  </fonts>
  <fills count="15">
    <fill>
      <patternFill patternType="none"/>
    </fill>
    <fill>
      <patternFill patternType="gray125"/>
    </fill>
    <fill>
      <patternFill patternType="solid">
        <fgColor rgb="FFFFFF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FC8C8"/>
        <bgColor indexed="64"/>
      </patternFill>
    </fill>
    <fill>
      <patternFill patternType="solid">
        <fgColor rgb="FFC8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FF9696"/>
        <bgColor indexed="64"/>
      </patternFill>
    </fill>
    <fill>
      <patternFill patternType="solid">
        <fgColor rgb="FFC8DCFF"/>
        <bgColor indexed="64"/>
      </patternFill>
    </fill>
    <fill>
      <patternFill patternType="solid">
        <fgColor rgb="FFDCFFDC"/>
        <bgColor indexed="64"/>
      </patternFill>
    </fill>
    <fill>
      <patternFill patternType="solid">
        <fgColor rgb="FFFFFFB4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FFE6E6"/>
        <bgColor indexed="64"/>
      </patternFill>
    </fill>
    <fill>
      <patternFill patternType="solid">
        <fgColor rgb="FFF5F5F5"/>
        <bgColor indexed="64"/>
      </patternFill>
    </fill>
  </fills>
  <borders count="16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4">
    <xf numFmtId="0" fontId="0" fillId="0" borderId="0" xfId="0"/>
    <xf numFmtId="0" fontId="0" fillId="0" borderId="0" xfId="0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/>
    <xf numFmtId="22" fontId="0" fillId="0" borderId="0" xfId="0" applyNumberFormat="1"/>
    <xf numFmtId="0" fontId="1" fillId="0" borderId="3" xfId="0" applyFont="1" applyBorder="1"/>
    <xf numFmtId="0" fontId="1" fillId="0" borderId="5" xfId="0" applyFont="1" applyBorder="1"/>
    <xf numFmtId="14" fontId="1" fillId="0" borderId="3" xfId="0" applyNumberFormat="1" applyFont="1" applyBorder="1"/>
    <xf numFmtId="0" fontId="1" fillId="0" borderId="6" xfId="0" applyFont="1" applyBorder="1"/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/>
    <xf numFmtId="0" fontId="2" fillId="0" borderId="0" xfId="0" applyFont="1"/>
    <xf numFmtId="14" fontId="0" fillId="0" borderId="0" xfId="0" applyNumberFormat="1"/>
    <xf numFmtId="0" fontId="3" fillId="0" borderId="0" xfId="0" applyFont="1" applyAlignment="1">
      <alignment horizontal="center"/>
    </xf>
    <xf numFmtId="0" fontId="4" fillId="0" borderId="0" xfId="0" applyFont="1"/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7" fillId="0" borderId="3" xfId="0" applyFont="1" applyBorder="1" applyAlignment="1">
      <alignment horizontal="left"/>
    </xf>
    <xf numFmtId="0" fontId="7" fillId="0" borderId="3" xfId="0" applyFont="1" applyBorder="1"/>
    <xf numFmtId="0" fontId="7" fillId="0" borderId="0" xfId="0" applyFont="1"/>
    <xf numFmtId="0" fontId="6" fillId="0" borderId="3" xfId="0" applyFont="1" applyBorder="1" applyAlignment="1">
      <alignment horizontal="left"/>
    </xf>
    <xf numFmtId="0" fontId="6" fillId="0" borderId="3" xfId="0" applyFont="1" applyBorder="1"/>
    <xf numFmtId="0" fontId="7" fillId="3" borderId="3" xfId="0" applyFont="1" applyFill="1" applyBorder="1"/>
    <xf numFmtId="0" fontId="7" fillId="3" borderId="3" xfId="0" applyFont="1" applyFill="1" applyBorder="1" applyAlignment="1">
      <alignment horizontal="center"/>
    </xf>
    <xf numFmtId="3" fontId="6" fillId="4" borderId="3" xfId="0" applyNumberFormat="1" applyFont="1" applyFill="1" applyBorder="1"/>
    <xf numFmtId="14" fontId="6" fillId="0" borderId="3" xfId="0" applyNumberFormat="1" applyFont="1" applyBorder="1" applyAlignment="1">
      <alignment horizontal="center"/>
    </xf>
    <xf numFmtId="3" fontId="6" fillId="5" borderId="3" xfId="0" applyNumberFormat="1" applyFont="1" applyFill="1" applyBorder="1"/>
    <xf numFmtId="3" fontId="6" fillId="6" borderId="3" xfId="0" applyNumberFormat="1" applyFont="1" applyFill="1" applyBorder="1"/>
    <xf numFmtId="0" fontId="6" fillId="0" borderId="3" xfId="0" applyFont="1" applyBorder="1" applyAlignment="1">
      <alignment horizontal="center"/>
    </xf>
    <xf numFmtId="3" fontId="6" fillId="2" borderId="3" xfId="0" applyNumberFormat="1" applyFont="1" applyFill="1" applyBorder="1"/>
    <xf numFmtId="3" fontId="6" fillId="7" borderId="3" xfId="0" applyNumberFormat="1" applyFont="1" applyFill="1" applyBorder="1"/>
    <xf numFmtId="10" fontId="6" fillId="0" borderId="3" xfId="0" applyNumberFormat="1" applyFont="1" applyBorder="1" applyAlignment="1">
      <alignment horizontal="center"/>
    </xf>
    <xf numFmtId="0" fontId="7" fillId="0" borderId="0" xfId="0" applyFont="1" applyAlignment="1">
      <alignment horizontal="left"/>
    </xf>
    <xf numFmtId="0" fontId="6" fillId="0" borderId="0" xfId="0" applyFont="1" applyAlignment="1">
      <alignment horizontal="left" wrapText="1"/>
    </xf>
    <xf numFmtId="0" fontId="6" fillId="0" borderId="3" xfId="0" applyFont="1" applyBorder="1" applyAlignment="1" applyProtection="1">
      <alignment horizontal="center"/>
      <protection locked="0"/>
    </xf>
    <xf numFmtId="0" fontId="6" fillId="0" borderId="3" xfId="0" applyFont="1" applyBorder="1" applyProtection="1">
      <protection locked="0"/>
    </xf>
    <xf numFmtId="0" fontId="6" fillId="10" borderId="10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3" fontId="6" fillId="0" borderId="0" xfId="0" applyNumberFormat="1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164" fontId="7" fillId="0" borderId="0" xfId="0" applyNumberFormat="1" applyFont="1" applyAlignment="1">
      <alignment horizontal="left" vertical="center"/>
    </xf>
    <xf numFmtId="0" fontId="7" fillId="0" borderId="10" xfId="0" applyFont="1" applyBorder="1" applyAlignment="1">
      <alignment horizontal="left" vertical="center"/>
    </xf>
    <xf numFmtId="0" fontId="7" fillId="3" borderId="0" xfId="0" applyFont="1" applyFill="1" applyAlignment="1">
      <alignment horizontal="left" vertical="center"/>
    </xf>
    <xf numFmtId="167" fontId="6" fillId="0" borderId="10" xfId="0" applyNumberFormat="1" applyFont="1" applyBorder="1" applyAlignment="1">
      <alignment horizontal="left" vertical="center"/>
    </xf>
    <xf numFmtId="22" fontId="6" fillId="0" borderId="10" xfId="0" applyNumberFormat="1" applyFont="1" applyBorder="1" applyAlignment="1">
      <alignment horizontal="left" vertical="center"/>
    </xf>
    <xf numFmtId="0" fontId="6" fillId="9" borderId="8" xfId="0" applyFont="1" applyFill="1" applyBorder="1" applyAlignment="1">
      <alignment horizontal="left" vertical="center"/>
    </xf>
    <xf numFmtId="0" fontId="6" fillId="10" borderId="8" xfId="0" applyFont="1" applyFill="1" applyBorder="1" applyAlignment="1">
      <alignment horizontal="left" vertical="center"/>
    </xf>
    <xf numFmtId="166" fontId="6" fillId="0" borderId="0" xfId="0" applyNumberFormat="1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0" fontId="6" fillId="11" borderId="9" xfId="0" applyFont="1" applyFill="1" applyBorder="1" applyAlignment="1">
      <alignment horizontal="left" vertical="center"/>
    </xf>
    <xf numFmtId="0" fontId="9" fillId="11" borderId="9" xfId="0" applyFont="1" applyFill="1" applyBorder="1" applyAlignment="1">
      <alignment horizontal="left" vertical="center"/>
    </xf>
    <xf numFmtId="168" fontId="6" fillId="0" borderId="0" xfId="0" applyNumberFormat="1" applyFont="1" applyAlignment="1">
      <alignment horizontal="left" vertical="center"/>
    </xf>
    <xf numFmtId="0" fontId="7" fillId="3" borderId="10" xfId="0" applyFont="1" applyFill="1" applyBorder="1" applyAlignment="1">
      <alignment horizontal="left" vertical="center"/>
    </xf>
    <xf numFmtId="165" fontId="6" fillId="0" borderId="10" xfId="0" applyNumberFormat="1" applyFont="1" applyBorder="1" applyAlignment="1">
      <alignment horizontal="left" vertical="center"/>
    </xf>
    <xf numFmtId="1" fontId="6" fillId="0" borderId="10" xfId="0" applyNumberFormat="1" applyFont="1" applyBorder="1" applyAlignment="1">
      <alignment horizontal="left" vertical="center"/>
    </xf>
    <xf numFmtId="166" fontId="6" fillId="0" borderId="10" xfId="0" applyNumberFormat="1" applyFont="1" applyBorder="1" applyAlignment="1">
      <alignment horizontal="left" vertical="center"/>
    </xf>
    <xf numFmtId="0" fontId="6" fillId="7" borderId="8" xfId="0" applyFont="1" applyFill="1" applyBorder="1" applyAlignment="1">
      <alignment horizontal="left" vertical="center"/>
    </xf>
    <xf numFmtId="0" fontId="11" fillId="9" borderId="8" xfId="0" applyFont="1" applyFill="1" applyBorder="1" applyAlignment="1">
      <alignment horizontal="center" vertical="center"/>
    </xf>
    <xf numFmtId="0" fontId="12" fillId="10" borderId="8" xfId="0" applyFont="1" applyFill="1" applyBorder="1" applyAlignment="1">
      <alignment horizontal="center" vertical="center"/>
    </xf>
    <xf numFmtId="0" fontId="13" fillId="7" borderId="8" xfId="0" applyFont="1" applyFill="1" applyBorder="1" applyAlignment="1">
      <alignment horizontal="center" vertical="center"/>
    </xf>
    <xf numFmtId="0" fontId="14" fillId="14" borderId="11" xfId="0" applyFont="1" applyFill="1" applyBorder="1" applyAlignment="1">
      <alignment horizontal="center" vertical="center"/>
    </xf>
    <xf numFmtId="165" fontId="14" fillId="14" borderId="11" xfId="0" applyNumberFormat="1" applyFont="1" applyFill="1" applyBorder="1" applyAlignment="1">
      <alignment horizontal="center" vertical="center"/>
    </xf>
    <xf numFmtId="0" fontId="15" fillId="14" borderId="11" xfId="0" applyFont="1" applyFill="1" applyBorder="1" applyAlignment="1">
      <alignment horizontal="center" vertical="center"/>
    </xf>
    <xf numFmtId="165" fontId="15" fillId="14" borderId="11" xfId="0" applyNumberFormat="1" applyFont="1" applyFill="1" applyBorder="1" applyAlignment="1">
      <alignment horizontal="center" vertical="center"/>
    </xf>
    <xf numFmtId="0" fontId="17" fillId="4" borderId="11" xfId="0" applyFont="1" applyFill="1" applyBorder="1" applyAlignment="1">
      <alignment horizontal="center" vertical="center"/>
    </xf>
    <xf numFmtId="168" fontId="17" fillId="4" borderId="11" xfId="0" applyNumberFormat="1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 wrapText="1"/>
    </xf>
    <xf numFmtId="14" fontId="1" fillId="0" borderId="4" xfId="0" applyNumberFormat="1" applyFont="1" applyBorder="1"/>
    <xf numFmtId="0" fontId="18" fillId="4" borderId="11" xfId="0" applyFont="1" applyFill="1" applyBorder="1" applyAlignment="1">
      <alignment horizontal="center" vertical="center"/>
    </xf>
    <xf numFmtId="168" fontId="18" fillId="4" borderId="11" xfId="0" applyNumberFormat="1" applyFont="1" applyFill="1" applyBorder="1" applyAlignment="1">
      <alignment horizontal="center" vertical="center"/>
    </xf>
    <xf numFmtId="0" fontId="6" fillId="4" borderId="0" xfId="0" applyFont="1" applyFill="1" applyAlignment="1">
      <alignment horizontal="left" vertical="center"/>
    </xf>
    <xf numFmtId="14" fontId="6" fillId="4" borderId="0" xfId="0" applyNumberFormat="1" applyFont="1" applyFill="1" applyAlignment="1">
      <alignment horizontal="left" vertical="center"/>
    </xf>
    <xf numFmtId="0" fontId="1" fillId="0" borderId="15" xfId="0" applyFont="1" applyBorder="1"/>
    <xf numFmtId="0" fontId="1" fillId="0" borderId="14" xfId="0" applyFont="1" applyBorder="1"/>
    <xf numFmtId="0" fontId="1" fillId="0" borderId="13" xfId="0" applyFont="1" applyBorder="1"/>
    <xf numFmtId="22" fontId="0" fillId="6" borderId="0" xfId="0" applyNumberFormat="1" applyFill="1"/>
    <xf numFmtId="0" fontId="0" fillId="6" borderId="0" xfId="0" applyFill="1"/>
    <xf numFmtId="22" fontId="0" fillId="5" borderId="0" xfId="0" applyNumberFormat="1" applyFill="1"/>
    <xf numFmtId="0" fontId="0" fillId="5" borderId="0" xfId="0" applyFill="1"/>
    <xf numFmtId="0" fontId="21" fillId="8" borderId="0" xfId="0" applyFont="1" applyFill="1"/>
    <xf numFmtId="49" fontId="0" fillId="0" borderId="0" xfId="0" applyNumberFormat="1"/>
    <xf numFmtId="49" fontId="21" fillId="0" borderId="0" xfId="0" applyNumberFormat="1" applyFont="1"/>
    <xf numFmtId="14" fontId="1" fillId="0" borderId="15" xfId="0" applyNumberFormat="1" applyFont="1" applyBorder="1"/>
    <xf numFmtId="0" fontId="2" fillId="0" borderId="3" xfId="0" applyFont="1" applyBorder="1"/>
    <xf numFmtId="14" fontId="1" fillId="0" borderId="6" xfId="0" applyNumberFormat="1" applyFont="1" applyBorder="1"/>
    <xf numFmtId="14" fontId="1" fillId="0" borderId="14" xfId="0" applyNumberFormat="1" applyFont="1" applyBorder="1"/>
    <xf numFmtId="169" fontId="1" fillId="0" borderId="4" xfId="0" applyNumberFormat="1" applyFont="1" applyBorder="1"/>
    <xf numFmtId="0" fontId="22" fillId="0" borderId="0" xfId="0" applyFont="1"/>
    <xf numFmtId="4" fontId="1" fillId="0" borderId="13" xfId="0" applyNumberFormat="1" applyFont="1" applyBorder="1" applyAlignment="1">
      <alignment horizontal="right" vertical="top"/>
    </xf>
    <xf numFmtId="4" fontId="1" fillId="0" borderId="4" xfId="0" applyNumberFormat="1" applyFont="1" applyBorder="1" applyAlignment="1">
      <alignment horizontal="right" vertical="top"/>
    </xf>
    <xf numFmtId="0" fontId="1" fillId="0" borderId="1" xfId="0" applyFont="1" applyBorder="1"/>
    <xf numFmtId="0" fontId="3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8" fillId="8" borderId="10" xfId="0" applyFont="1" applyFill="1" applyBorder="1" applyAlignment="1">
      <alignment horizontal="left" vertical="center"/>
    </xf>
    <xf numFmtId="0" fontId="8" fillId="8" borderId="7" xfId="0" applyFont="1" applyFill="1" applyBorder="1" applyAlignment="1">
      <alignment horizontal="left" vertical="center"/>
    </xf>
    <xf numFmtId="0" fontId="16" fillId="12" borderId="11" xfId="0" applyFont="1" applyFill="1" applyBorder="1" applyAlignment="1">
      <alignment horizontal="center" vertical="center"/>
    </xf>
    <xf numFmtId="0" fontId="19" fillId="13" borderId="11" xfId="0" applyFont="1" applyFill="1" applyBorder="1" applyAlignment="1">
      <alignment horizontal="center" vertical="center"/>
    </xf>
    <xf numFmtId="0" fontId="8" fillId="8" borderId="0" xfId="0" applyFont="1" applyFill="1" applyAlignment="1">
      <alignment horizontal="left" vertical="center"/>
    </xf>
    <xf numFmtId="165" fontId="6" fillId="4" borderId="8" xfId="0" applyNumberFormat="1" applyFont="1" applyFill="1" applyBorder="1" applyAlignment="1">
      <alignment horizontal="left" vertical="center"/>
    </xf>
    <xf numFmtId="0" fontId="7" fillId="10" borderId="8" xfId="0" applyFont="1" applyFill="1" applyBorder="1" applyAlignment="1">
      <alignment horizontal="left" vertical="center"/>
    </xf>
    <xf numFmtId="3" fontId="8" fillId="10" borderId="8" xfId="0" applyNumberFormat="1" applyFont="1" applyFill="1" applyBorder="1" applyAlignment="1">
      <alignment horizontal="left" vertical="center"/>
    </xf>
    <xf numFmtId="0" fontId="10" fillId="10" borderId="8" xfId="0" applyFont="1" applyFill="1" applyBorder="1" applyAlignment="1">
      <alignment horizontal="left" vertical="center"/>
    </xf>
    <xf numFmtId="0" fontId="7" fillId="7" borderId="8" xfId="0" applyFont="1" applyFill="1" applyBorder="1" applyAlignment="1">
      <alignment horizontal="left" vertical="center"/>
    </xf>
    <xf numFmtId="3" fontId="8" fillId="7" borderId="8" xfId="0" applyNumberFormat="1" applyFont="1" applyFill="1" applyBorder="1" applyAlignment="1">
      <alignment horizontal="left" vertical="center"/>
    </xf>
    <xf numFmtId="0" fontId="10" fillId="7" borderId="8" xfId="0" applyFont="1" applyFill="1" applyBorder="1" applyAlignment="1">
      <alignment horizontal="left" vertical="center"/>
    </xf>
    <xf numFmtId="0" fontId="7" fillId="9" borderId="8" xfId="0" applyFont="1" applyFill="1" applyBorder="1" applyAlignment="1">
      <alignment horizontal="left" vertical="center"/>
    </xf>
    <xf numFmtId="3" fontId="8" fillId="9" borderId="8" xfId="0" applyNumberFormat="1" applyFont="1" applyFill="1" applyBorder="1" applyAlignment="1">
      <alignment horizontal="left" vertical="center"/>
    </xf>
    <xf numFmtId="0" fontId="10" fillId="9" borderId="8" xfId="0" applyFont="1" applyFill="1" applyBorder="1" applyAlignment="1">
      <alignment horizontal="left" vertical="center"/>
    </xf>
    <xf numFmtId="0" fontId="7" fillId="4" borderId="8" xfId="0" applyFont="1" applyFill="1" applyBorder="1" applyAlignment="1">
      <alignment horizontal="left" vertical="center"/>
    </xf>
    <xf numFmtId="3" fontId="8" fillId="4" borderId="8" xfId="0" applyNumberFormat="1" applyFont="1" applyFill="1" applyBorder="1" applyAlignment="1">
      <alignment horizontal="left" vertical="center"/>
    </xf>
    <xf numFmtId="0" fontId="10" fillId="4" borderId="8" xfId="0" applyFont="1" applyFill="1" applyBorder="1" applyAlignment="1">
      <alignment horizontal="left" vertical="center"/>
    </xf>
  </cellXfs>
  <cellStyles count="1">
    <cellStyle name="Обычный" xfId="0" builtinId="0"/>
  </cellStyles>
  <dxfs count="40"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0" formatCode="@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numFmt numFmtId="169" formatCode="m/d/yyyy"/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charset val="204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Распределение по статусам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Dashboard!$W$4</c:f>
              <c:strCache>
                <c:ptCount val="1"/>
                <c:pt idx="0">
                  <c:v>Количество</c:v>
                </c:pt>
              </c:strCache>
            </c:strRef>
          </c:tx>
          <c:dPt>
            <c:idx val="0"/>
            <c:bubble3D val="0"/>
            <c:spPr>
              <a:solidFill>
                <a:srgbClr val="C8FFC8"/>
              </a:solidFill>
            </c:spPr>
            <c:extLst>
              <c:ext xmlns:c16="http://schemas.microsoft.com/office/drawing/2014/chart" uri="{C3380CC4-5D6E-409C-BE32-E72D297353CC}">
                <c16:uniqueId val="{00000001-645E-4B49-AF1D-BB5C78DA4AA4}"/>
              </c:ext>
            </c:extLst>
          </c:dPt>
          <c:dPt>
            <c:idx val="1"/>
            <c:bubble3D val="0"/>
            <c:spPr>
              <a:solidFill>
                <a:srgbClr val="C8C8FF"/>
              </a:solidFill>
            </c:spPr>
            <c:extLst>
              <c:ext xmlns:c16="http://schemas.microsoft.com/office/drawing/2014/chart" uri="{C3380CC4-5D6E-409C-BE32-E72D297353CC}">
                <c16:uniqueId val="{00000002-645E-4B49-AF1D-BB5C78DA4AA4}"/>
              </c:ext>
            </c:extLst>
          </c:dPt>
          <c:dPt>
            <c:idx val="2"/>
            <c:bubble3D val="0"/>
            <c:spPr>
              <a:solidFill>
                <a:srgbClr val="FFFFC8"/>
              </a:solidFill>
            </c:spPr>
            <c:extLst>
              <c:ext xmlns:c16="http://schemas.microsoft.com/office/drawing/2014/chart" uri="{C3380CC4-5D6E-409C-BE32-E72D297353CC}">
                <c16:uniqueId val="{00000003-645E-4B49-AF1D-BB5C78DA4AA4}"/>
              </c:ext>
            </c:extLst>
          </c:dPt>
          <c:dPt>
            <c:idx val="3"/>
            <c:bubble3D val="0"/>
            <c:spPr>
              <a:solidFill>
                <a:srgbClr val="FFC8C8"/>
              </a:solidFill>
            </c:spPr>
            <c:extLst>
              <c:ext xmlns:c16="http://schemas.microsoft.com/office/drawing/2014/chart" uri="{C3380CC4-5D6E-409C-BE32-E72D297353CC}">
                <c16:uniqueId val="{00000004-645E-4B49-AF1D-BB5C78DA4AA4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Dashboard!$V$5:$V$8</c:f>
              <c:strCache>
                <c:ptCount val="4"/>
                <c:pt idx="0">
                  <c:v>Подтверждено</c:v>
                </c:pt>
                <c:pt idx="1">
                  <c:v>Отпр.Исх.</c:v>
                </c:pt>
                <c:pt idx="2">
                  <c:v>В работе</c:v>
                </c:pt>
                <c:pt idx="3">
                  <c:v>Без статуса</c:v>
                </c:pt>
              </c:strCache>
            </c:strRef>
          </c:cat>
          <c:val>
            <c:numRef>
              <c:f>Dashboard!$W$5:$W$8</c:f>
              <c:numCache>
                <c:formatCode>General</c:formatCode>
                <c:ptCount val="4"/>
                <c:pt idx="0">
                  <c:v>6</c:v>
                </c:pt>
                <c:pt idx="1">
                  <c:v>3</c:v>
                </c:pt>
                <c:pt idx="2">
                  <c:v>0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E-4B49-AF1D-BB5C78DA4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Активность по службам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Dashboard!$V$11</c:f>
              <c:strCache>
                <c:ptCount val="1"/>
                <c:pt idx="0">
                  <c:v>Служба</c:v>
                </c:pt>
              </c:strCache>
            </c:strRef>
          </c:tx>
          <c:spPr>
            <a:solidFill>
              <a:srgbClr val="6496FF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Dashboard!$V$12:$V$17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1A-44AA-AAAE-65444D098399}"/>
            </c:ext>
          </c:extLst>
        </c:ser>
        <c:ser>
          <c:idx val="1"/>
          <c:order val="1"/>
          <c:tx>
            <c:strRef>
              <c:f>Dashboard!$W$11</c:f>
              <c:strCache>
                <c:ptCount val="1"/>
                <c:pt idx="0">
                  <c:v>Количество</c:v>
                </c:pt>
              </c:strCache>
            </c:strRef>
          </c:tx>
          <c:invertIfNegative val="0"/>
          <c:val>
            <c:numRef>
              <c:f>Dashboard!$W$12:$W$17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1A-44AA-AAAE-65444D098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5426447"/>
        <c:axId val="665426927"/>
      </c:barChart>
      <c:catAx>
        <c:axId val="665426447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Службы</a:t>
                </a:r>
              </a:p>
            </c:rich>
          </c:tx>
          <c:overlay val="0"/>
        </c:title>
        <c:majorTickMark val="out"/>
        <c:minorTickMark val="none"/>
        <c:tickLblPos val="nextTo"/>
        <c:crossAx val="665426927"/>
        <c:crosses val="autoZero"/>
        <c:auto val="1"/>
        <c:lblAlgn val="ctr"/>
        <c:lblOffset val="100"/>
        <c:noMultiLvlLbl val="0"/>
      </c:catAx>
      <c:valAx>
        <c:axId val="665426927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Количество документов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66542644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5</xdr:row>
      <xdr:rowOff>171450</xdr:rowOff>
    </xdr:from>
    <xdr:to>
      <xdr:col>2</xdr:col>
      <xdr:colOff>0</xdr:colOff>
      <xdr:row>8</xdr:row>
      <xdr:rowOff>0</xdr:rowOff>
    </xdr:to>
    <xdr:sp macro="" textlink="">
      <xdr:nvSpPr>
        <xdr:cNvPr id="3" name="Прямоугольник 2">
          <a:extLst>
            <a:ext uri="{FF2B5EF4-FFF2-40B4-BE49-F238E27FC236}">
              <a16:creationId xmlns:a16="http://schemas.microsoft.com/office/drawing/2014/main" id="{60EBF7A6-D884-F0F0-6E99-A72B83C2FF63}"/>
            </a:ext>
          </a:extLst>
        </xdr:cNvPr>
        <xdr:cNvSpPr/>
      </xdr:nvSpPr>
      <xdr:spPr>
        <a:xfrm>
          <a:off x="47625" y="1438275"/>
          <a:ext cx="4619625" cy="40005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"Сводный </a:t>
          </a:r>
          <a:r>
            <a:rPr lang="en-GB" sz="1100"/>
            <a:t>Dashboard"</a:t>
          </a:r>
          <a:endParaRPr lang="ru-RU" sz="1100"/>
        </a:p>
      </xdr:txBody>
    </xdr:sp>
    <xdr:clientData/>
  </xdr:twoCellAnchor>
  <xdr:twoCellAnchor>
    <xdr:from>
      <xdr:col>0</xdr:col>
      <xdr:colOff>38100</xdr:colOff>
      <xdr:row>8</xdr:row>
      <xdr:rowOff>9526</xdr:rowOff>
    </xdr:from>
    <xdr:to>
      <xdr:col>1</xdr:col>
      <xdr:colOff>1314450</xdr:colOff>
      <xdr:row>9</xdr:row>
      <xdr:rowOff>314326</xdr:rowOff>
    </xdr:to>
    <xdr:sp macro="" textlink="">
      <xdr:nvSpPr>
        <xdr:cNvPr id="4" name="Прямоугольник 3">
          <a:extLst>
            <a:ext uri="{FF2B5EF4-FFF2-40B4-BE49-F238E27FC236}">
              <a16:creationId xmlns:a16="http://schemas.microsoft.com/office/drawing/2014/main" id="{C47CAACA-6C45-972C-F83E-D964A695E6C5}"/>
            </a:ext>
          </a:extLst>
        </xdr:cNvPr>
        <xdr:cNvSpPr/>
      </xdr:nvSpPr>
      <xdr:spPr>
        <a:xfrm>
          <a:off x="38100" y="1847851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Статус документов</a:t>
          </a:r>
        </a:p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9</xdr:row>
      <xdr:rowOff>304801</xdr:rowOff>
    </xdr:from>
    <xdr:to>
      <xdr:col>1</xdr:col>
      <xdr:colOff>1276350</xdr:colOff>
      <xdr:row>12</xdr:row>
      <xdr:rowOff>19051</xdr:rowOff>
    </xdr:to>
    <xdr:sp macro="" textlink="">
      <xdr:nvSpPr>
        <xdr:cNvPr id="5" name="Прямоугольник 4">
          <a:extLst>
            <a:ext uri="{FF2B5EF4-FFF2-40B4-BE49-F238E27FC236}">
              <a16:creationId xmlns:a16="http://schemas.microsoft.com/office/drawing/2014/main" id="{AD279150-A357-6CCC-33D0-D63690EC699E}"/>
            </a:ext>
          </a:extLst>
        </xdr:cNvPr>
        <xdr:cNvSpPr/>
      </xdr:nvSpPr>
      <xdr:spPr>
        <a:xfrm>
          <a:off x="0" y="2333626"/>
          <a:ext cx="4619625" cy="4953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Отчет по службам</a:t>
          </a:r>
        </a:p>
      </xdr:txBody>
    </xdr:sp>
    <xdr:clientData/>
  </xdr:twoCellAnchor>
  <xdr:twoCellAnchor>
    <xdr:from>
      <xdr:col>0</xdr:col>
      <xdr:colOff>47625</xdr:colOff>
      <xdr:row>12</xdr:row>
      <xdr:rowOff>38101</xdr:rowOff>
    </xdr:from>
    <xdr:to>
      <xdr:col>2</xdr:col>
      <xdr:colOff>0</xdr:colOff>
      <xdr:row>14</xdr:row>
      <xdr:rowOff>57150</xdr:rowOff>
    </xdr:to>
    <xdr:sp macro="" textlink="">
      <xdr:nvSpPr>
        <xdr:cNvPr id="6" name="Прямоугольник 5">
          <a:extLst>
            <a:ext uri="{FF2B5EF4-FFF2-40B4-BE49-F238E27FC236}">
              <a16:creationId xmlns:a16="http://schemas.microsoft.com/office/drawing/2014/main" id="{65D2A47F-7733-70EA-F381-ADE8434291AB}"/>
            </a:ext>
          </a:extLst>
        </xdr:cNvPr>
        <xdr:cNvSpPr/>
      </xdr:nvSpPr>
      <xdr:spPr>
        <a:xfrm>
          <a:off x="47625" y="2847976"/>
          <a:ext cx="4619625" cy="400049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Кнопка Документы с задержками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685800</xdr:colOff>
      <xdr:row>14</xdr:row>
      <xdr:rowOff>123825</xdr:rowOff>
    </xdr:from>
    <xdr:to>
      <xdr:col>16</xdr:col>
      <xdr:colOff>1190625</xdr:colOff>
      <xdr:row>18</xdr:row>
      <xdr:rowOff>28575</xdr:rowOff>
    </xdr:to>
    <xdr:sp macro="[0]!Module1.GenerateDashboard" textlink="">
      <xdr:nvSpPr>
        <xdr:cNvPr id="10" name="Прямоугольник 9">
          <a:extLst>
            <a:ext uri="{FF2B5EF4-FFF2-40B4-BE49-F238E27FC236}">
              <a16:creationId xmlns:a16="http://schemas.microsoft.com/office/drawing/2014/main" id="{37846CCF-E731-24B9-AB7A-827FEF8DAAB1}"/>
            </a:ext>
          </a:extLst>
        </xdr:cNvPr>
        <xdr:cNvSpPr/>
      </xdr:nvSpPr>
      <xdr:spPr>
        <a:xfrm>
          <a:off x="14335125" y="2790825"/>
          <a:ext cx="1619250" cy="66675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StatusPieChart">
          <a:extLst>
            <a:ext uri="{FF2B5EF4-FFF2-40B4-BE49-F238E27FC236}">
              <a16:creationId xmlns:a16="http://schemas.microsoft.com/office/drawing/2014/main" id="{3FF58B9D-8278-FE09-7140-A2EA615BEF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10</xdr:row>
      <xdr:rowOff>0</xdr:rowOff>
    </xdr:from>
    <xdr:to>
      <xdr:col>15</xdr:col>
      <xdr:colOff>0</xdr:colOff>
      <xdr:row>25</xdr:row>
      <xdr:rowOff>0</xdr:rowOff>
    </xdr:to>
    <xdr:graphicFrame macro="">
      <xdr:nvGraphicFramePr>
        <xdr:cNvPr id="3" name="ServiceColumnChart">
          <a:extLst>
            <a:ext uri="{FF2B5EF4-FFF2-40B4-BE49-F238E27FC236}">
              <a16:creationId xmlns:a16="http://schemas.microsoft.com/office/drawing/2014/main" id="{4A3AA9BB-DE36-C603-4B71-32606B52ED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C333FD-63F0-4E9F-8CC6-93898C581D70}" name="TableIncOut" displayName="TableIncOut" ref="A1:AF44" totalsRowShown="0" headerRowDxfId="39" dataDxfId="37" headerRowBorderDxfId="38" tableBorderDxfId="36" totalsRowBorderDxfId="35">
  <autoFilter ref="A1:AF44" xr:uid="{8FC333FD-63F0-4E9F-8CC6-93898C581D70}"/>
  <tableColumns count="32">
    <tableColumn id="1" xr3:uid="{0A0BECDC-9AA9-45A9-93C5-A71027738DF1}" name="№ П/П" dataDxfId="34"/>
    <tableColumn id="2" xr3:uid="{7D3AF814-5A71-4C3F-BC3F-BBAF8DEEE2E7}" name="Служба" dataDxfId="33"/>
    <tableColumn id="3" xr3:uid="{365555A8-3665-4DEF-B987-52EF345766E1}" name="ТипДокумента" dataDxfId="32"/>
    <tableColumn id="4" xr3:uid="{53435FF3-B8A9-456D-AF80-FFDC3DAAE625}" name="Вид документа" dataDxfId="31"/>
    <tableColumn id="5" xr3:uid="{818D1262-D680-438D-9FF8-924BA7C94EBC}" name="НомерДокумента" dataDxfId="30"/>
    <tableColumn id="6" xr3:uid="{869ADC8B-513C-42DC-9125-8E28CE5D003A}" name="Сумма документа" dataDxfId="29"/>
    <tableColumn id="7" xr3:uid="{9A8BA24E-DD64-491D-A534-DA7AC273AC53}" name="Вх.ФРП_x000a_Исх.ФРП" dataDxfId="28"/>
    <tableColumn id="8" xr3:uid="{D689A096-72DB-479D-A1C3-83B1A6E07749}" name="ДатаВх. ФРП_x000a_ДатаИсх. ФРП" dataDxfId="27"/>
    <tableColumn id="9" xr3:uid="{8F317CDC-63AB-4AFA-9783-525361163DBB}" name="От кого поступил (куда направлен)" dataDxfId="26"/>
    <tableColumn id="10" xr3:uid="{0C8FEDCC-833A-4421-A114-D556AD7C01F4}" name="ДатаПередачиИсполнителю" dataDxfId="25"/>
    <tableColumn id="11" xr3:uid="{2FED1E3D-C0CD-4C17-BB2F-7E74DBEF5294}" name="Исполнитель" dataDxfId="24"/>
    <tableColumn id="12" xr3:uid="{8FCD9A91-4B1E-4E29-A876-CCF80E72A90B}" name="НомерИсхВСлужбу" dataDxfId="23"/>
    <tableColumn id="13" xr3:uid="{4F11E080-1F05-4B76-AACC-F4A383AE060D}" name="ДатаИсхВСлужбу" dataDxfId="22"/>
    <tableColumn id="14" xr3:uid="{FF9857D9-4E85-402C-86D7-88B37F3ACA1D}" name="Номер возвратаСоСлужбы" dataDxfId="21"/>
    <tableColumn id="15" xr3:uid="{52BFD158-EA44-434B-AA42-01E0C3D4A7E9}" name="Дата возвратаСоСлужбы" dataDxfId="20"/>
    <tableColumn id="16" xr3:uid="{686ECA96-0F1B-4B29-BC39-092A4499DEB4}" name="НомерИсхКонверт/НомерВхКонверт" dataDxfId="19"/>
    <tableColumn id="17" xr3:uid="{D990D222-9B31-4107-BF15-587101F720C5}" name="ДатаИсхКонверт/ДатаВхКонверт" dataDxfId="18"/>
    <tableColumn id="18" xr3:uid="{8840F3E8-146B-4C66-BFDC-7BD58E7D906B}" name="Отметка об исполнении (номер документа в 1С)" dataDxfId="17"/>
    <tableColumn id="19" xr3:uid="{682814E1-D1D5-4AF0-821D-64A2A90ED13A}" name="СтатусПодтверждения" dataDxfId="16"/>
    <tableColumn id="20" xr3:uid="{AA21424A-3A1E-466C-B04B-7530BBA979B4}" name="Наряд" dataDxfId="15"/>
    <tableColumn id="21" xr3:uid="{8F472D39-2EDF-458E-950F-BE0FEE69EAD8}" name="PackageId" dataDxfId="14"/>
    <tableColumn id="22" xr3:uid="{BA99479E-A67F-4160-89FF-2E9605EFEE97}" name="PackageType" dataDxfId="13"/>
    <tableColumn id="23" xr3:uid="{BB72BC78-595C-46AF-AA74-5628516AE897}" name="AssetCategory" dataDxfId="12"/>
    <tableColumn id="24" xr3:uid="{C1C03ABD-2951-4299-8882-A0E02DF8339E}" name="DocumentStage" dataDxfId="11"/>
    <tableColumn id="25" xr3:uid="{6388D87D-03A2-4FDE-B3DA-A9336C0CFCED}" name="CounterpartyNormalized" dataDxfId="10"/>
    <tableColumn id="26" xr3:uid="{4D23EF31-2575-4841-8DE8-4DFEBF26E39E}" name="HasChildDocuments" dataDxfId="9"/>
    <tableColumn id="27" xr3:uid="{D6DE9AF3-9138-4CAE-BAD9-ACB797856F83}" name="ChildDocumentsCount" dataDxfId="8"/>
    <tableColumn id="28" xr3:uid="{CB633E28-B7DD-4EB7-B57C-2AD21F8D9551}" name="ChildrenTotalAmount" dataDxfId="7"/>
    <tableColumn id="29" xr3:uid="{2D5B0716-4B35-4CA1-B4AB-E5FD5773B4F3}" name="PackageAmountCheckStatus" dataDxfId="6"/>
    <tableColumn id="30" xr3:uid="{83068A9F-4CA5-456C-893B-BDAAD42D5995}" name="Primary1COperationNumber" dataDxfId="5"/>
    <tableColumn id="31" xr3:uid="{0B9FA735-1118-470F-976E-A33BB5AE96A5}" name="Primary1COperationDate" dataDxfId="4"/>
    <tableColumn id="32" xr3:uid="{95B001DA-2AF6-4DEF-8238-B6CD63DF2DAE}" name="Primary1CMatchStatus" dataDxfId="3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1CEA4CA-3066-4A52-B316-336AFA6FC0B1}" name="TableSearchKeywords" displayName="TableSearchKeywords" ref="H1:I6" totalsRowShown="0">
  <autoFilter ref="H1:I6" xr:uid="{F1CEA4CA-3066-4A52-B316-336AFA6FC0B1}"/>
  <tableColumns count="2">
    <tableColumn id="1" xr3:uid="{565019A0-85F2-48DD-B3C0-B8662D900433}" name="Ключевое слово"/>
    <tableColumn id="2" xr3:uid="{7A529BC8-BDCB-401E-AECE-73DCA7BF01ED}" name="Системный код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15ED36-37FD-457B-B165-62F9571D3CF5}" name="TableLocalization" displayName="TableLocalization" ref="A1:B617" totalsRowShown="0">
  <autoFilter ref="A1:B617" xr:uid="{D915ED36-37FD-457B-B165-62F9571D3CF5}"/>
  <tableColumns count="2">
    <tableColumn id="1" xr3:uid="{F444204E-A4B9-4E0B-9A4F-925940BF3564}" name="Key" dataDxfId="2"/>
    <tableColumn id="2" xr3:uid="{B6162665-D14D-4F72-98A2-A9727EC4F71F}" name="RussianText" dataDxfId="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D6B0BC2-4C23-4EBB-B036-CADAB3201339}" name="TableIncOutItems" displayName="TableIncOutItems" ref="A1:AG2" totalsRowShown="0">
  <autoFilter ref="A1:AG2" xr:uid="{4D6B0BC2-4C23-4EBB-B036-CADAB3201339}"/>
  <tableColumns count="33">
    <tableColumn id="1" xr3:uid="{0EFA94D3-88F8-44C6-8EEB-C35064831A60}" name="ItemId"/>
    <tableColumn id="2" xr3:uid="{331B1A10-9196-485E-9768-27910744AF4C}" name="PackageId"/>
    <tableColumn id="3" xr3:uid="{78BE07A0-ED09-4A5D-B328-5E482894A695}" name="ItemOrder"/>
    <tableColumn id="4" xr3:uid="{DF0AF1B7-1886-4532-A7E3-D0B43BDB2099}" name="ItemDocumentType"/>
    <tableColumn id="5" xr3:uid="{76F59B5D-DA72-4673-A41C-CD1CDB576328}" name="ItemDocumentTypeDisplay"/>
    <tableColumn id="6" xr3:uid="{320A0AC8-C409-4739-B662-ACDB6AF50132}" name="ItemDocumentNumber"/>
    <tableColumn id="7" xr3:uid="{D7F96F9C-2FF4-4B32-8F1B-A48658718AC5}" name="ItemDocumentDate"/>
    <tableColumn id="8" xr3:uid="{13389263-2355-4248-9EAA-777432F2CE0B}" name="ItemAmount"/>
    <tableColumn id="9" xr3:uid="{2E2E7622-FE51-4DD4-A688-3688ACF42A21}" name="CounterpartyName"/>
    <tableColumn id="10" xr3:uid="{D00814EA-E81B-490C-B5C4-54A249F21602}" name="CounterpartyNormalized"/>
    <tableColumn id="11" xr3:uid="{C9693107-0A05-4CD4-8BAE-C9A07E9A42C3}" name="Direction"/>
    <tableColumn id="12" xr3:uid="{04EF2259-231B-4138-BB9F-4E3FB542FB61}" name="Service"/>
    <tableColumn id="13" xr3:uid="{CBA51AF3-D7E3-47D0-B91C-D08FF4D18E82}" name="Executor"/>
    <tableColumn id="14" xr3:uid="{B26570C9-D8CD-4B60-8F5E-3FBD9B115A36}" name="OrderInfo"/>
    <tableColumn id="15" xr3:uid="{34F2C7AE-6E25-48CD-AE5B-3F03FC1C0DE7}" name="FRPNumber"/>
    <tableColumn id="16" xr3:uid="{B7C5DD67-BFA3-44DB-BE42-3E5FC5690C59}" name="FRPDate"/>
    <tableColumn id="17" xr3:uid="{5714A1C2-10D1-4574-8397-B75E19334421}" name="ItemAssetCategory"/>
    <tableColumn id="18" xr3:uid="{64466428-2776-493D-996D-EBE26DF0D48F}" name="ItemDescription"/>
    <tableColumn id="19" xr3:uid="{CC097476-93D4-40F8-9DD1-FCC273E11910}" name="ItemQuantity"/>
    <tableColumn id="20" xr3:uid="{29EF6096-63CB-4A1F-BB39-8B90CC1A6369}" name="ItemUnit"/>
    <tableColumn id="21" xr3:uid="{013AA4AE-CEAC-4571-B159-AEECA969224D}" name="BaseDocumentType"/>
    <tableColumn id="22" xr3:uid="{4228A223-0FB5-41E8-8BBE-748E5C04D59B}" name="BaseDocumentNumber"/>
    <tableColumn id="23" xr3:uid="{5D85E216-8CAF-48C3-8D30-78023C04E2B6}" name="BaseDocumentDate"/>
    <tableColumn id="24" xr3:uid="{07272735-1CA8-42F9-92E5-D8D06121259F}" name="Matched1COperationNumber"/>
    <tableColumn id="25" xr3:uid="{5D7DC164-F62E-437B-A12F-73F66B3B04FA}" name="Matched1COperationDate"/>
    <tableColumn id="26" xr3:uid="{A02B2326-A68C-4211-B29F-A6FE3E9632DB}" name="Matched1CMatchStatus"/>
    <tableColumn id="27" xr3:uid="{52CFBBBA-F952-4598-A8DF-2856B7DFFE3D}" name="Matched1CConfidence"/>
    <tableColumn id="28" xr3:uid="{413C8AF3-4EF7-473E-B65D-48613924FE9D}" name="Matched1CComment"/>
    <tableColumn id="29" xr3:uid="{4445EE29-8362-41AB-B9EA-41A99811CB16}" name="Matched1CMode"/>
    <tableColumn id="30" xr3:uid="{9AE6610F-27C7-4CFB-B8AD-6B7EE358F9AD}" name="IsPostedSeparately"/>
    <tableColumn id="31" xr3:uid="{44F977E9-E0A2-40DC-99D6-A04610BA5FAA}" name="Notes"/>
    <tableColumn id="32" xr3:uid="{1C1A0549-24C8-46CD-8C31-66805B3B92B5}" name="CreatedAt"/>
    <tableColumn id="33" xr3:uid="{D7024222-A52B-4CEE-A096-9F211815A458}" name="UpdatedA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45974-792E-4693-8B43-4F1D0B94BD0A}">
  <sheetPr codeName="Лист4">
    <tabColor rgb="FF0070C0"/>
  </sheetPr>
  <dimension ref="A1:H22"/>
  <sheetViews>
    <sheetView workbookViewId="0">
      <selection activeCell="E22" sqref="E22"/>
    </sheetView>
  </sheetViews>
  <sheetFormatPr defaultRowHeight="15" x14ac:dyDescent="0.25"/>
  <cols>
    <col min="1" max="1" width="20.7109375" customWidth="1"/>
    <col min="2" max="2" width="15.7109375" customWidth="1"/>
    <col min="3" max="4" width="10.7109375" customWidth="1"/>
    <col min="5" max="5" width="23.85546875" bestFit="1" customWidth="1"/>
    <col min="6" max="6" width="18.7109375" customWidth="1"/>
  </cols>
  <sheetData>
    <row r="1" spans="1:8" ht="23.25" x14ac:dyDescent="0.35">
      <c r="A1" s="94" t="s">
        <v>51</v>
      </c>
      <c r="B1" s="94"/>
      <c r="C1" s="94"/>
      <c r="D1" s="94"/>
      <c r="E1" s="94"/>
      <c r="F1" s="94"/>
      <c r="G1" s="94"/>
      <c r="H1" s="94"/>
    </row>
    <row r="2" spans="1:8" ht="23.25" x14ac:dyDescent="0.35">
      <c r="A2" s="13"/>
      <c r="B2" s="13"/>
      <c r="C2" s="13"/>
      <c r="D2" s="13"/>
      <c r="E2" s="13"/>
      <c r="F2" s="13"/>
      <c r="G2" s="13"/>
      <c r="H2" s="13"/>
    </row>
    <row r="3" spans="1:8" ht="23.25" x14ac:dyDescent="0.35">
      <c r="A3" s="13"/>
      <c r="B3" s="13"/>
      <c r="C3" s="13"/>
      <c r="D3" s="13"/>
      <c r="E3" s="13"/>
      <c r="F3" s="13"/>
      <c r="G3" s="13"/>
      <c r="H3" s="13"/>
    </row>
    <row r="5" spans="1:8" x14ac:dyDescent="0.25">
      <c r="A5" s="11" t="s">
        <v>52</v>
      </c>
    </row>
    <row r="7" spans="1:8" x14ac:dyDescent="0.25">
      <c r="A7" s="11"/>
    </row>
    <row r="9" spans="1:8" x14ac:dyDescent="0.25">
      <c r="A9" s="11"/>
    </row>
    <row r="10" spans="1:8" ht="31.5" customHeight="1" x14ac:dyDescent="0.25"/>
    <row r="11" spans="1:8" x14ac:dyDescent="0.25">
      <c r="A11" s="11"/>
    </row>
    <row r="13" spans="1:8" x14ac:dyDescent="0.25">
      <c r="A13" s="11"/>
    </row>
    <row r="16" spans="1:8" ht="18.75" x14ac:dyDescent="0.3">
      <c r="A16" s="14" t="s">
        <v>55</v>
      </c>
    </row>
    <row r="18" spans="1:5" x14ac:dyDescent="0.25">
      <c r="A18" s="11" t="s">
        <v>56</v>
      </c>
      <c r="B18" s="12">
        <f ca="1">TODAY()-30</f>
        <v>46092</v>
      </c>
    </row>
    <row r="19" spans="1:5" x14ac:dyDescent="0.25">
      <c r="A19" s="11" t="s">
        <v>57</v>
      </c>
      <c r="B19" s="12">
        <f ca="1">TODAY()</f>
        <v>46122</v>
      </c>
      <c r="E19" t="s">
        <v>60</v>
      </c>
    </row>
    <row r="20" spans="1:5" x14ac:dyDescent="0.25">
      <c r="A20" s="11" t="s">
        <v>58</v>
      </c>
      <c r="E20" t="s">
        <v>61</v>
      </c>
    </row>
    <row r="21" spans="1:5" x14ac:dyDescent="0.25">
      <c r="A21" s="11" t="s">
        <v>59</v>
      </c>
      <c r="E21" t="s">
        <v>62</v>
      </c>
    </row>
    <row r="22" spans="1:5" x14ac:dyDescent="0.25">
      <c r="A22" s="11" t="s">
        <v>6</v>
      </c>
      <c r="E22" t="s">
        <v>63</v>
      </c>
    </row>
  </sheetData>
  <mergeCells count="1">
    <mergeCell ref="A1:H1"/>
  </mergeCells>
  <dataValidations count="1">
    <dataValidation type="list" allowBlank="1" showInputMessage="1" showErrorMessage="1" sqref="B21" xr:uid="{E8556F08-F3B0-4595-9010-0F3AB4F875C9}">
      <formula1>"Все статусы (пустой) Подтверждено Отпр.Исх."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0FBC71EE-4974-47A0-A632-516E4F7C31B7}">
          <x14:formula1>
            <xm:f>Dictionaries!$A$2:$A$12</xm:f>
          </x14:formula1>
          <xm:sqref>B20</xm:sqref>
        </x14:dataValidation>
        <x14:dataValidation type="list" allowBlank="1" showInputMessage="1" showErrorMessage="1" xr:uid="{C8499CF7-21F5-4C31-8D7E-AB6403D1AEE4}">
          <x14:formula1>
            <xm:f>Dictionaries!$E$2:$E$4</xm:f>
          </x14:formula1>
          <xm:sqref>B22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51818-7CA7-4B5F-ABBD-B430886E548D}">
  <sheetPr codeName="Лист6"/>
  <dimension ref="A1:U22"/>
  <sheetViews>
    <sheetView workbookViewId="0">
      <selection activeCell="U6" sqref="U6"/>
    </sheetView>
  </sheetViews>
  <sheetFormatPr defaultRowHeight="12.75" x14ac:dyDescent="0.2"/>
  <cols>
    <col min="1" max="1" width="25.7109375" style="16" customWidth="1"/>
    <col min="2" max="2" width="30.7109375" style="15" customWidth="1"/>
    <col min="3" max="3" width="15.7109375" style="15" customWidth="1"/>
    <col min="4" max="4" width="20.7109375" style="15" customWidth="1"/>
    <col min="5" max="5" width="15.7109375" style="15" customWidth="1"/>
    <col min="6" max="6" width="25.7109375" style="15" customWidth="1"/>
    <col min="7" max="7" width="5.7109375" style="15" customWidth="1"/>
    <col min="8" max="8" width="25.7109375" style="15" customWidth="1"/>
    <col min="9" max="9" width="12.7109375" style="17" customWidth="1"/>
    <col min="10" max="10" width="20.7109375" style="15" customWidth="1"/>
    <col min="11" max="11" width="5.7109375" style="15" customWidth="1"/>
    <col min="12" max="12" width="20.7109375" style="15" customWidth="1"/>
    <col min="13" max="14" width="15.7109375" style="15" customWidth="1"/>
    <col min="15" max="15" width="5.7109375" style="15" customWidth="1"/>
    <col min="16" max="16" width="25.7109375" style="15" customWidth="1"/>
    <col min="17" max="17" width="12.7109375" style="17" customWidth="1"/>
    <col min="18" max="18" width="20.7109375" style="15" customWidth="1"/>
    <col min="19" max="19" width="5.7109375" style="15" customWidth="1"/>
    <col min="20" max="20" width="25.7109375" style="15" customWidth="1"/>
    <col min="21" max="21" width="15.7109375" style="17" customWidth="1"/>
    <col min="22" max="16384" width="9.140625" style="15"/>
  </cols>
  <sheetData>
    <row r="1" spans="1:21" x14ac:dyDescent="0.2">
      <c r="A1" s="95" t="s">
        <v>67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</row>
    <row r="3" spans="1:21" x14ac:dyDescent="0.2">
      <c r="A3" s="18" t="s">
        <v>68</v>
      </c>
      <c r="B3" s="19" t="s">
        <v>69</v>
      </c>
      <c r="D3" s="20" t="s">
        <v>76</v>
      </c>
      <c r="H3" s="20" t="s">
        <v>87</v>
      </c>
      <c r="L3" s="20" t="s">
        <v>99</v>
      </c>
      <c r="P3" s="20" t="s">
        <v>123</v>
      </c>
      <c r="T3" s="20" t="s">
        <v>134</v>
      </c>
    </row>
    <row r="4" spans="1:21" x14ac:dyDescent="0.2">
      <c r="A4" s="21" t="s">
        <v>64</v>
      </c>
      <c r="B4" s="22" t="s">
        <v>70</v>
      </c>
      <c r="D4" s="23" t="s">
        <v>77</v>
      </c>
      <c r="E4" s="23" t="s">
        <v>78</v>
      </c>
      <c r="F4" s="23" t="s">
        <v>79</v>
      </c>
      <c r="H4" s="23" t="s">
        <v>53</v>
      </c>
      <c r="I4" s="24" t="s">
        <v>88</v>
      </c>
      <c r="J4" s="23" t="s">
        <v>89</v>
      </c>
      <c r="L4" s="23" t="s">
        <v>100</v>
      </c>
      <c r="M4" s="23" t="s">
        <v>101</v>
      </c>
      <c r="N4" s="23" t="s">
        <v>88</v>
      </c>
      <c r="P4" s="23" t="s">
        <v>53</v>
      </c>
      <c r="Q4" s="24" t="s">
        <v>88</v>
      </c>
      <c r="R4" s="23" t="s">
        <v>79</v>
      </c>
    </row>
    <row r="5" spans="1:21" x14ac:dyDescent="0.2">
      <c r="A5" s="21"/>
      <c r="B5" s="22" t="s">
        <v>71</v>
      </c>
      <c r="D5" s="22" t="s">
        <v>80</v>
      </c>
      <c r="E5" s="25">
        <v>255200200</v>
      </c>
      <c r="F5" s="22" t="s">
        <v>81</v>
      </c>
      <c r="H5" s="22" t="s">
        <v>90</v>
      </c>
      <c r="I5" s="35">
        <v>7</v>
      </c>
      <c r="J5" s="22" t="s">
        <v>91</v>
      </c>
      <c r="L5" s="22" t="s">
        <v>102</v>
      </c>
      <c r="M5" s="36" t="s">
        <v>103</v>
      </c>
      <c r="N5" s="22">
        <v>800</v>
      </c>
      <c r="P5" s="22" t="s">
        <v>124</v>
      </c>
      <c r="Q5" s="35" t="s">
        <v>113</v>
      </c>
      <c r="R5" s="22" t="s">
        <v>125</v>
      </c>
      <c r="T5" s="19" t="s">
        <v>135</v>
      </c>
      <c r="U5" s="26">
        <f ca="1">TODAY()</f>
        <v>46122</v>
      </c>
    </row>
    <row r="6" spans="1:21" x14ac:dyDescent="0.2">
      <c r="A6" s="21" t="s">
        <v>44</v>
      </c>
      <c r="B6" s="22" t="s">
        <v>72</v>
      </c>
      <c r="D6" s="22" t="s">
        <v>44</v>
      </c>
      <c r="E6" s="27">
        <v>200255200</v>
      </c>
      <c r="F6" s="22" t="s">
        <v>82</v>
      </c>
      <c r="H6" s="22" t="s">
        <v>92</v>
      </c>
      <c r="I6" s="35">
        <v>3</v>
      </c>
      <c r="J6" s="22" t="s">
        <v>91</v>
      </c>
      <c r="L6" s="22" t="s">
        <v>104</v>
      </c>
      <c r="M6" s="36" t="s">
        <v>103</v>
      </c>
      <c r="N6" s="22">
        <v>600</v>
      </c>
      <c r="P6" s="22" t="s">
        <v>126</v>
      </c>
      <c r="Q6" s="35">
        <v>10</v>
      </c>
      <c r="R6" s="22" t="s">
        <v>127</v>
      </c>
      <c r="T6" s="19" t="s">
        <v>136</v>
      </c>
      <c r="U6" s="26">
        <f ca="1">TODAY()-30</f>
        <v>46092</v>
      </c>
    </row>
    <row r="7" spans="1:21" x14ac:dyDescent="0.2">
      <c r="A7" s="21" t="s">
        <v>54</v>
      </c>
      <c r="B7" s="22" t="s">
        <v>73</v>
      </c>
      <c r="D7" s="22" t="s">
        <v>54</v>
      </c>
      <c r="E7" s="28">
        <v>200200255</v>
      </c>
      <c r="F7" s="22" t="s">
        <v>83</v>
      </c>
      <c r="H7" s="22" t="s">
        <v>93</v>
      </c>
      <c r="I7" s="35">
        <v>5</v>
      </c>
      <c r="J7" s="22" t="s">
        <v>94</v>
      </c>
      <c r="L7" s="22" t="s">
        <v>105</v>
      </c>
      <c r="M7" s="36" t="s">
        <v>106</v>
      </c>
      <c r="N7" s="22" t="s">
        <v>107</v>
      </c>
      <c r="P7" s="22" t="s">
        <v>128</v>
      </c>
      <c r="Q7" s="35">
        <v>100</v>
      </c>
      <c r="R7" s="22" t="s">
        <v>129</v>
      </c>
      <c r="T7" s="19" t="s">
        <v>137</v>
      </c>
      <c r="U7" s="29"/>
    </row>
    <row r="8" spans="1:21" x14ac:dyDescent="0.2">
      <c r="A8" s="21" t="s">
        <v>65</v>
      </c>
      <c r="B8" s="22" t="s">
        <v>74</v>
      </c>
      <c r="D8" s="22" t="s">
        <v>65</v>
      </c>
      <c r="E8" s="30">
        <v>255255200</v>
      </c>
      <c r="F8" s="22" t="s">
        <v>84</v>
      </c>
      <c r="H8" s="22" t="s">
        <v>95</v>
      </c>
      <c r="I8" s="35">
        <v>30</v>
      </c>
      <c r="J8" s="22" t="s">
        <v>91</v>
      </c>
      <c r="L8" s="22" t="s">
        <v>108</v>
      </c>
      <c r="M8" s="36" t="s">
        <v>109</v>
      </c>
      <c r="N8" s="22" t="s">
        <v>110</v>
      </c>
      <c r="P8" s="22" t="s">
        <v>130</v>
      </c>
      <c r="Q8" s="35" t="s">
        <v>113</v>
      </c>
      <c r="R8" s="22" t="s">
        <v>131</v>
      </c>
      <c r="T8" s="19" t="s">
        <v>138</v>
      </c>
      <c r="U8" s="29"/>
    </row>
    <row r="9" spans="1:21" x14ac:dyDescent="0.2">
      <c r="A9" s="21" t="s">
        <v>66</v>
      </c>
      <c r="B9" s="22" t="s">
        <v>75</v>
      </c>
      <c r="D9" s="22" t="s">
        <v>85</v>
      </c>
      <c r="E9" s="31">
        <v>255150150</v>
      </c>
      <c r="F9" s="22" t="s">
        <v>86</v>
      </c>
      <c r="H9" s="22" t="s">
        <v>96</v>
      </c>
      <c r="I9" s="35">
        <v>1000</v>
      </c>
      <c r="J9" s="22" t="s">
        <v>94</v>
      </c>
      <c r="L9" s="22" t="s">
        <v>111</v>
      </c>
      <c r="M9" s="36" t="s">
        <v>112</v>
      </c>
      <c r="N9" s="22" t="s">
        <v>113</v>
      </c>
      <c r="P9" s="22" t="s">
        <v>132</v>
      </c>
      <c r="Q9" s="35">
        <v>30</v>
      </c>
      <c r="R9" s="22" t="s">
        <v>133</v>
      </c>
      <c r="T9" s="19" t="s">
        <v>139</v>
      </c>
      <c r="U9" s="32">
        <f>IF(U7&gt;0,U8/U7*100,0)</f>
        <v>0</v>
      </c>
    </row>
    <row r="10" spans="1:21" x14ac:dyDescent="0.2">
      <c r="H10" s="22" t="s">
        <v>97</v>
      </c>
      <c r="I10" s="35">
        <v>85</v>
      </c>
      <c r="J10" s="22" t="s">
        <v>98</v>
      </c>
      <c r="L10" s="22" t="s">
        <v>114</v>
      </c>
      <c r="M10" s="36" t="s">
        <v>112</v>
      </c>
      <c r="N10" s="22" t="s">
        <v>115</v>
      </c>
    </row>
    <row r="13" spans="1:21" x14ac:dyDescent="0.2">
      <c r="A13" s="33" t="s">
        <v>116</v>
      </c>
    </row>
    <row r="15" spans="1:21" x14ac:dyDescent="0.2">
      <c r="A15" s="33" t="s">
        <v>117</v>
      </c>
    </row>
    <row r="16" spans="1:21" ht="51" x14ac:dyDescent="0.2">
      <c r="A16" s="34" t="s">
        <v>118</v>
      </c>
    </row>
    <row r="18" spans="1:1" x14ac:dyDescent="0.2">
      <c r="A18" s="33" t="s">
        <v>119</v>
      </c>
    </row>
    <row r="19" spans="1:1" ht="51" x14ac:dyDescent="0.2">
      <c r="A19" s="34" t="s">
        <v>120</v>
      </c>
    </row>
    <row r="21" spans="1:1" x14ac:dyDescent="0.2">
      <c r="A21" s="33" t="s">
        <v>121</v>
      </c>
    </row>
    <row r="22" spans="1:1" ht="38.25" x14ac:dyDescent="0.2">
      <c r="A22" s="34" t="s">
        <v>122</v>
      </c>
    </row>
  </sheetData>
  <sheetProtection algorithmName="SHA-512" hashValue="oAfO5vlTq0PApuZ+4ObYGdOsoq6Ej4cL8kfLWtEEcc16SGAkF9cixfEx1PHgdYirchbB+7DPO9BlHJ+qAoT/RQ==" saltValue="YsPmlj7lkidox91Un4G7cw==" spinCount="100000" sheet="1" objects="1" scenarios="1"/>
  <mergeCells count="1">
    <mergeCell ref="A1:U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F9C2-DE5D-4688-BDA8-D83F3582EA50}">
  <sheetPr codeName="Лист7"/>
  <dimension ref="A1:W100"/>
  <sheetViews>
    <sheetView workbookViewId="0">
      <pane ySplit="5" topLeftCell="A6" activePane="bottomLeft" state="frozen"/>
      <selection pane="bottomLeft" activeCell="P29" sqref="P29"/>
    </sheetView>
  </sheetViews>
  <sheetFormatPr defaultRowHeight="12.75" x14ac:dyDescent="0.25"/>
  <cols>
    <col min="1" max="1" width="8.42578125" style="38" customWidth="1"/>
    <col min="2" max="2" width="20.7109375" style="38" customWidth="1"/>
    <col min="3" max="3" width="8.7109375" style="38" customWidth="1"/>
    <col min="4" max="4" width="10.7109375" style="38" customWidth="1"/>
    <col min="5" max="5" width="8.7109375" style="38" customWidth="1"/>
    <col min="6" max="6" width="16.85546875" style="38" customWidth="1"/>
    <col min="7" max="7" width="15.7109375" style="38" customWidth="1"/>
    <col min="8" max="8" width="12.7109375" style="38" customWidth="1"/>
    <col min="9" max="9" width="15.7109375" style="38" customWidth="1"/>
    <col min="10" max="10" width="12.7109375" style="38" customWidth="1"/>
    <col min="11" max="11" width="10.7109375" style="38" customWidth="1"/>
    <col min="12" max="12" width="6.7109375" style="38" customWidth="1"/>
    <col min="13" max="14" width="12.7109375" style="38" customWidth="1"/>
    <col min="15" max="15" width="15.7109375" style="38" customWidth="1"/>
    <col min="16" max="16" width="16.7109375" style="38" customWidth="1"/>
    <col min="17" max="17" width="19.5703125" style="38" customWidth="1"/>
    <col min="18" max="18" width="16.7109375" style="38" customWidth="1"/>
    <col min="19" max="19" width="31.28515625" style="38" bestFit="1" customWidth="1"/>
    <col min="20" max="20" width="10.140625" style="38" bestFit="1" customWidth="1"/>
    <col min="21" max="21" width="8.7109375" style="38" customWidth="1"/>
    <col min="22" max="22" width="38.140625" style="38" bestFit="1" customWidth="1"/>
    <col min="23" max="23" width="12" style="38" bestFit="1" customWidth="1"/>
    <col min="24" max="25" width="8.7109375" style="38" customWidth="1"/>
    <col min="26" max="26" width="9.140625" style="38" customWidth="1"/>
    <col min="27" max="16384" width="9.140625" style="38"/>
  </cols>
  <sheetData>
    <row r="1" spans="1:23" ht="15" customHeight="1" x14ac:dyDescent="0.25">
      <c r="A1" s="100" t="s">
        <v>140</v>
      </c>
      <c r="B1" s="100"/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P1" s="96" t="s">
        <v>177</v>
      </c>
      <c r="Q1" s="96"/>
      <c r="R1" s="96"/>
      <c r="S1" s="39" t="s">
        <v>190</v>
      </c>
    </row>
    <row r="2" spans="1:23" ht="15" customHeight="1" x14ac:dyDescent="0.25">
      <c r="P2" s="40"/>
      <c r="Q2" s="40"/>
      <c r="R2" s="40"/>
      <c r="S2" s="38" t="s">
        <v>191</v>
      </c>
      <c r="T2" s="41"/>
    </row>
    <row r="3" spans="1:23" ht="15" customHeight="1" x14ac:dyDescent="0.25">
      <c r="A3" s="39" t="s">
        <v>141</v>
      </c>
      <c r="B3" s="42" t="str">
        <f ca="1">ReportDateFrom&amp;" - "&amp;ReportDateTo</f>
        <v>46092 - 46122</v>
      </c>
      <c r="C3" s="42"/>
      <c r="D3" s="42"/>
      <c r="E3" s="39" t="s">
        <v>142</v>
      </c>
      <c r="F3" s="43">
        <v>45879.071446759262</v>
      </c>
      <c r="G3" s="42"/>
      <c r="H3" s="39" t="s">
        <v>59</v>
      </c>
      <c r="I3" s="42" t="s">
        <v>143</v>
      </c>
      <c r="P3" s="44" t="s">
        <v>178</v>
      </c>
      <c r="Q3" s="37"/>
      <c r="R3" s="40"/>
      <c r="S3" s="38" t="s">
        <v>192</v>
      </c>
      <c r="T3" s="41">
        <v>16</v>
      </c>
      <c r="V3" s="39" t="s">
        <v>203</v>
      </c>
    </row>
    <row r="4" spans="1:23" ht="15" customHeight="1" thickBot="1" x14ac:dyDescent="0.3">
      <c r="P4" s="44" t="s">
        <v>179</v>
      </c>
      <c r="Q4" s="37" t="s">
        <v>180</v>
      </c>
      <c r="R4" s="40"/>
      <c r="S4" s="38" t="s">
        <v>193</v>
      </c>
      <c r="T4" s="41">
        <v>6</v>
      </c>
      <c r="V4" s="45" t="s">
        <v>77</v>
      </c>
      <c r="W4" s="45" t="s">
        <v>204</v>
      </c>
    </row>
    <row r="5" spans="1:23" ht="15" customHeight="1" thickBot="1" x14ac:dyDescent="0.3">
      <c r="A5" s="108" t="s">
        <v>144</v>
      </c>
      <c r="B5" s="108"/>
      <c r="C5" s="108"/>
      <c r="E5" s="111" t="s">
        <v>146</v>
      </c>
      <c r="F5" s="111"/>
      <c r="G5" s="111"/>
      <c r="I5" s="102" t="s">
        <v>148</v>
      </c>
      <c r="J5" s="102"/>
      <c r="K5" s="102"/>
      <c r="M5" s="105" t="s">
        <v>150</v>
      </c>
      <c r="N5" s="105"/>
      <c r="O5" s="105"/>
      <c r="P5" s="44" t="s">
        <v>181</v>
      </c>
      <c r="Q5" s="46">
        <v>45879.071446759262</v>
      </c>
      <c r="R5" s="40"/>
      <c r="S5" s="38" t="s">
        <v>194</v>
      </c>
      <c r="T5" s="41">
        <v>3</v>
      </c>
      <c r="V5" s="38" t="s">
        <v>44</v>
      </c>
      <c r="W5" s="38">
        <v>6</v>
      </c>
    </row>
    <row r="6" spans="1:23" ht="15" customHeight="1" thickBot="1" x14ac:dyDescent="0.3">
      <c r="A6" s="109">
        <v>19</v>
      </c>
      <c r="B6" s="109"/>
      <c r="C6" s="109"/>
      <c r="E6" s="112">
        <v>6</v>
      </c>
      <c r="F6" s="112"/>
      <c r="G6" s="112"/>
      <c r="I6" s="103">
        <v>0</v>
      </c>
      <c r="J6" s="103"/>
      <c r="K6" s="103"/>
      <c r="M6" s="106">
        <v>8</v>
      </c>
      <c r="N6" s="106"/>
      <c r="O6" s="106"/>
      <c r="P6" s="44" t="s">
        <v>182</v>
      </c>
      <c r="Q6" s="47" t="s">
        <v>217</v>
      </c>
      <c r="R6" s="40"/>
      <c r="S6" s="38" t="s">
        <v>195</v>
      </c>
      <c r="T6" s="41">
        <v>0</v>
      </c>
      <c r="V6" s="38" t="s">
        <v>54</v>
      </c>
      <c r="W6" s="38">
        <v>3</v>
      </c>
    </row>
    <row r="7" spans="1:23" ht="15" customHeight="1" thickBot="1" x14ac:dyDescent="0.3">
      <c r="A7" s="110" t="s">
        <v>145</v>
      </c>
      <c r="B7" s="110"/>
      <c r="C7" s="110"/>
      <c r="E7" s="113" t="s">
        <v>147</v>
      </c>
      <c r="F7" s="113"/>
      <c r="G7" s="113"/>
      <c r="I7" s="104" t="s">
        <v>149</v>
      </c>
      <c r="J7" s="104"/>
      <c r="K7" s="104"/>
      <c r="M7" s="107" t="s">
        <v>151</v>
      </c>
      <c r="N7" s="107"/>
      <c r="O7" s="107"/>
      <c r="P7" s="44" t="s">
        <v>183</v>
      </c>
      <c r="Q7" s="40" t="s">
        <v>184</v>
      </c>
      <c r="R7" s="40"/>
      <c r="S7" s="38" t="s">
        <v>196</v>
      </c>
      <c r="T7" s="41">
        <v>7</v>
      </c>
      <c r="V7" s="38" t="s">
        <v>65</v>
      </c>
      <c r="W7" s="38">
        <v>0</v>
      </c>
    </row>
    <row r="8" spans="1:23" ht="15" customHeight="1" thickBot="1" x14ac:dyDescent="0.3">
      <c r="A8" s="60" t="s">
        <v>209</v>
      </c>
      <c r="B8" s="48"/>
      <c r="C8" s="48"/>
      <c r="E8" s="101">
        <v>0.47368421052631576</v>
      </c>
      <c r="F8" s="101"/>
      <c r="G8" s="101"/>
      <c r="I8" s="61" t="s">
        <v>210</v>
      </c>
      <c r="J8" s="49"/>
      <c r="K8" s="49"/>
      <c r="M8" s="62" t="s">
        <v>211</v>
      </c>
      <c r="N8" s="59"/>
      <c r="O8" s="59"/>
      <c r="P8" s="44" t="s">
        <v>185</v>
      </c>
      <c r="Q8" s="40" t="s">
        <v>218</v>
      </c>
      <c r="R8" s="40"/>
      <c r="S8" s="38" t="s">
        <v>197</v>
      </c>
      <c r="T8" s="50">
        <v>4</v>
      </c>
      <c r="V8" s="38" t="s">
        <v>205</v>
      </c>
      <c r="W8" s="38">
        <v>10</v>
      </c>
    </row>
    <row r="9" spans="1:23" ht="15" customHeight="1" thickBot="1" x14ac:dyDescent="0.3">
      <c r="P9" s="44" t="s">
        <v>186</v>
      </c>
      <c r="Q9" s="40" t="s">
        <v>187</v>
      </c>
      <c r="R9" s="40"/>
      <c r="S9" s="38" t="s">
        <v>198</v>
      </c>
      <c r="T9" s="51">
        <v>0.5625</v>
      </c>
    </row>
    <row r="10" spans="1:23" ht="15" customHeight="1" thickBot="1" x14ac:dyDescent="0.3">
      <c r="A10" s="97" t="s">
        <v>152</v>
      </c>
      <c r="B10" s="97"/>
      <c r="C10" s="97"/>
      <c r="D10" s="97"/>
      <c r="E10" s="97"/>
      <c r="F10" s="97"/>
      <c r="G10" s="97"/>
      <c r="I10" s="97" t="s">
        <v>155</v>
      </c>
      <c r="J10" s="97"/>
      <c r="K10" s="97"/>
      <c r="L10" s="97"/>
      <c r="M10" s="97"/>
      <c r="N10" s="97"/>
      <c r="O10" s="97"/>
      <c r="P10" s="44" t="s">
        <v>188</v>
      </c>
      <c r="Q10" s="40">
        <v>100</v>
      </c>
      <c r="R10" s="40"/>
      <c r="S10" s="38" t="s">
        <v>199</v>
      </c>
      <c r="T10" s="50">
        <v>10</v>
      </c>
      <c r="V10" s="39" t="s">
        <v>206</v>
      </c>
    </row>
    <row r="11" spans="1:23" ht="15" customHeight="1" x14ac:dyDescent="0.25">
      <c r="A11" s="52"/>
      <c r="B11" s="52"/>
      <c r="C11" s="52"/>
      <c r="D11" s="52"/>
      <c r="E11" s="52"/>
      <c r="F11" s="52"/>
      <c r="G11" s="52"/>
      <c r="I11" s="52"/>
      <c r="J11" s="52"/>
      <c r="K11" s="52"/>
      <c r="L11" s="52"/>
      <c r="M11" s="52"/>
      <c r="N11" s="52"/>
      <c r="O11" s="52"/>
      <c r="P11" s="44" t="s">
        <v>189</v>
      </c>
      <c r="Q11" s="40" t="s">
        <v>113</v>
      </c>
      <c r="R11" s="40"/>
      <c r="S11" s="38" t="s">
        <v>200</v>
      </c>
      <c r="T11" s="41">
        <v>31</v>
      </c>
      <c r="V11" s="45" t="s">
        <v>1</v>
      </c>
      <c r="W11" s="45" t="s">
        <v>204</v>
      </c>
    </row>
    <row r="12" spans="1:23" ht="15" customHeight="1" x14ac:dyDescent="0.25">
      <c r="A12" s="53" t="s">
        <v>153</v>
      </c>
      <c r="B12" s="52"/>
      <c r="C12" s="52"/>
      <c r="D12" s="52"/>
      <c r="E12" s="52"/>
      <c r="F12" s="52"/>
      <c r="G12" s="52"/>
      <c r="I12" s="53" t="s">
        <v>156</v>
      </c>
      <c r="J12" s="52"/>
      <c r="K12" s="52"/>
      <c r="L12" s="52"/>
      <c r="M12" s="52"/>
      <c r="N12" s="52"/>
      <c r="O12" s="52"/>
      <c r="S12" s="38" t="s">
        <v>201</v>
      </c>
      <c r="T12" s="54">
        <v>45873</v>
      </c>
      <c r="V12" s="38" t="s">
        <v>20</v>
      </c>
      <c r="W12" s="38">
        <v>5</v>
      </c>
    </row>
    <row r="13" spans="1:23" ht="15" customHeight="1" x14ac:dyDescent="0.25">
      <c r="A13" s="53" t="s">
        <v>154</v>
      </c>
      <c r="B13" s="52"/>
      <c r="C13" s="52"/>
      <c r="D13" s="52"/>
      <c r="E13" s="52"/>
      <c r="F13" s="52"/>
      <c r="G13" s="52"/>
      <c r="I13" s="53" t="s">
        <v>157</v>
      </c>
      <c r="J13" s="52"/>
      <c r="K13" s="52"/>
      <c r="L13" s="52"/>
      <c r="M13" s="52"/>
      <c r="N13" s="52"/>
      <c r="O13" s="52"/>
      <c r="S13" s="38" t="s">
        <v>202</v>
      </c>
      <c r="T13" s="54"/>
      <c r="V13" s="38" t="s">
        <v>27</v>
      </c>
      <c r="W13" s="38">
        <v>2</v>
      </c>
    </row>
    <row r="14" spans="1:23" ht="15" customHeight="1" x14ac:dyDescent="0.25">
      <c r="A14" s="52"/>
      <c r="B14" s="52"/>
      <c r="C14" s="52"/>
      <c r="D14" s="52"/>
      <c r="E14" s="52"/>
      <c r="F14" s="52"/>
      <c r="G14" s="52"/>
      <c r="I14" s="52"/>
      <c r="J14" s="52"/>
      <c r="K14" s="52"/>
      <c r="L14" s="52"/>
      <c r="M14" s="52"/>
      <c r="N14" s="52"/>
      <c r="O14" s="52"/>
      <c r="V14" s="38" t="s">
        <v>28</v>
      </c>
      <c r="W14" s="38">
        <v>2</v>
      </c>
    </row>
    <row r="15" spans="1:23" ht="15" customHeight="1" x14ac:dyDescent="0.25">
      <c r="A15" s="52"/>
      <c r="B15" s="52"/>
      <c r="C15" s="52"/>
      <c r="D15" s="52"/>
      <c r="E15" s="52"/>
      <c r="F15" s="52"/>
      <c r="G15" s="52"/>
      <c r="I15" s="52"/>
      <c r="J15" s="52"/>
      <c r="K15" s="52"/>
      <c r="L15" s="52"/>
      <c r="M15" s="52"/>
      <c r="N15" s="52"/>
      <c r="O15" s="52"/>
      <c r="V15" s="38" t="s">
        <v>15</v>
      </c>
      <c r="W15" s="38">
        <v>2</v>
      </c>
    </row>
    <row r="16" spans="1:23" ht="15" customHeight="1" x14ac:dyDescent="0.25">
      <c r="A16" s="52"/>
      <c r="B16" s="52"/>
      <c r="C16" s="52"/>
      <c r="D16" s="52"/>
      <c r="E16" s="52"/>
      <c r="F16" s="52"/>
      <c r="G16" s="52"/>
      <c r="I16" s="52"/>
      <c r="J16" s="52"/>
      <c r="K16" s="52"/>
      <c r="L16" s="52"/>
      <c r="M16" s="52"/>
      <c r="N16" s="52"/>
      <c r="O16" s="52"/>
      <c r="V16" s="38" t="s">
        <v>29</v>
      </c>
      <c r="W16" s="38">
        <v>2</v>
      </c>
    </row>
    <row r="17" spans="1:15" ht="15" customHeight="1" x14ac:dyDescent="0.25">
      <c r="A17" s="52"/>
      <c r="B17" s="52"/>
      <c r="C17" s="52"/>
      <c r="D17" s="52"/>
      <c r="E17" s="52"/>
      <c r="F17" s="52"/>
      <c r="G17" s="52"/>
      <c r="I17" s="52"/>
      <c r="J17" s="52"/>
      <c r="K17" s="52"/>
      <c r="L17" s="52"/>
      <c r="M17" s="52"/>
      <c r="N17" s="52"/>
      <c r="O17" s="52"/>
    </row>
    <row r="18" spans="1:15" ht="15" customHeight="1" x14ac:dyDescent="0.25">
      <c r="A18" s="52"/>
      <c r="B18" s="52"/>
      <c r="C18" s="52"/>
      <c r="D18" s="52"/>
      <c r="E18" s="52"/>
      <c r="F18" s="52"/>
      <c r="G18" s="52"/>
      <c r="I18" s="52"/>
      <c r="J18" s="52"/>
      <c r="K18" s="52"/>
      <c r="L18" s="52"/>
      <c r="M18" s="52"/>
      <c r="N18" s="52"/>
      <c r="O18" s="52"/>
    </row>
    <row r="19" spans="1:15" ht="15" customHeight="1" x14ac:dyDescent="0.25">
      <c r="A19" s="52"/>
      <c r="B19" s="52"/>
      <c r="C19" s="52"/>
      <c r="D19" s="52"/>
      <c r="E19" s="52"/>
      <c r="F19" s="52"/>
      <c r="G19" s="52"/>
      <c r="I19" s="52"/>
      <c r="J19" s="52"/>
      <c r="K19" s="52"/>
      <c r="L19" s="52"/>
      <c r="M19" s="52"/>
      <c r="N19" s="52"/>
      <c r="O19" s="52"/>
    </row>
    <row r="20" spans="1:15" ht="15" customHeight="1" x14ac:dyDescent="0.25">
      <c r="A20" s="52"/>
      <c r="B20" s="52"/>
      <c r="C20" s="52"/>
      <c r="D20" s="52"/>
      <c r="E20" s="52"/>
      <c r="F20" s="52"/>
      <c r="G20" s="52"/>
      <c r="I20" s="52"/>
      <c r="J20" s="52"/>
      <c r="K20" s="52"/>
      <c r="L20" s="52"/>
      <c r="M20" s="52"/>
      <c r="N20" s="52"/>
      <c r="O20" s="52"/>
    </row>
    <row r="21" spans="1:15" ht="15" customHeight="1" x14ac:dyDescent="0.25">
      <c r="A21" s="52"/>
      <c r="B21" s="52"/>
      <c r="C21" s="52"/>
      <c r="D21" s="52"/>
      <c r="E21" s="52"/>
      <c r="F21" s="52"/>
      <c r="G21" s="52"/>
      <c r="I21" s="52"/>
      <c r="J21" s="52"/>
      <c r="K21" s="52"/>
      <c r="L21" s="52"/>
      <c r="M21" s="52"/>
      <c r="N21" s="52"/>
      <c r="O21" s="52"/>
    </row>
    <row r="22" spans="1:15" ht="15" customHeight="1" x14ac:dyDescent="0.25">
      <c r="A22" s="52"/>
      <c r="B22" s="52"/>
      <c r="C22" s="52"/>
      <c r="D22" s="52"/>
      <c r="E22" s="52"/>
      <c r="F22" s="52"/>
      <c r="G22" s="52"/>
      <c r="I22" s="52"/>
      <c r="J22" s="52"/>
      <c r="K22" s="52"/>
      <c r="L22" s="52"/>
      <c r="M22" s="52"/>
      <c r="N22" s="52"/>
      <c r="O22" s="52"/>
    </row>
    <row r="23" spans="1:15" ht="15" customHeight="1" x14ac:dyDescent="0.25">
      <c r="A23" s="52"/>
      <c r="B23" s="52"/>
      <c r="C23" s="52"/>
      <c r="D23" s="52"/>
      <c r="E23" s="52"/>
      <c r="F23" s="52"/>
      <c r="G23" s="52"/>
      <c r="I23" s="52"/>
      <c r="J23" s="52"/>
      <c r="K23" s="52"/>
      <c r="L23" s="52"/>
      <c r="M23" s="52"/>
      <c r="N23" s="52"/>
      <c r="O23" s="52"/>
    </row>
    <row r="24" spans="1:15" ht="15" customHeight="1" x14ac:dyDescent="0.25">
      <c r="A24" s="52"/>
      <c r="B24" s="52"/>
      <c r="C24" s="52"/>
      <c r="D24" s="52"/>
      <c r="E24" s="52"/>
      <c r="F24" s="52"/>
      <c r="G24" s="52"/>
      <c r="I24" s="52"/>
      <c r="J24" s="52"/>
      <c r="K24" s="52"/>
      <c r="L24" s="52"/>
      <c r="M24" s="52"/>
      <c r="N24" s="52"/>
      <c r="O24" s="52"/>
    </row>
    <row r="25" spans="1:15" ht="15" customHeight="1" x14ac:dyDescent="0.25">
      <c r="A25" s="52"/>
      <c r="B25" s="52"/>
      <c r="C25" s="52"/>
      <c r="D25" s="52"/>
      <c r="E25" s="52"/>
      <c r="F25" s="52"/>
      <c r="G25" s="52"/>
      <c r="I25" s="52"/>
      <c r="J25" s="52"/>
      <c r="K25" s="52"/>
      <c r="L25" s="52"/>
      <c r="M25" s="52"/>
      <c r="N25" s="52"/>
      <c r="O25" s="52"/>
    </row>
    <row r="26" spans="1:15" ht="15" customHeight="1" x14ac:dyDescent="0.25"/>
    <row r="27" spans="1:15" ht="15" customHeight="1" x14ac:dyDescent="0.25">
      <c r="A27" s="98" t="s">
        <v>158</v>
      </c>
      <c r="B27" s="98"/>
      <c r="C27" s="98"/>
      <c r="D27" s="98"/>
      <c r="E27" s="98"/>
      <c r="F27" s="98"/>
      <c r="H27" s="99" t="s">
        <v>160</v>
      </c>
      <c r="I27" s="99"/>
      <c r="J27" s="99"/>
      <c r="K27" s="99"/>
      <c r="L27" s="99"/>
      <c r="M27" s="99"/>
    </row>
    <row r="28" spans="1:15" ht="15" customHeight="1" x14ac:dyDescent="0.25">
      <c r="A28" s="63">
        <v>1</v>
      </c>
      <c r="B28" s="63" t="s">
        <v>20</v>
      </c>
      <c r="C28" s="63">
        <v>4</v>
      </c>
      <c r="D28" s="63">
        <v>1</v>
      </c>
      <c r="E28" s="64">
        <v>0.25</v>
      </c>
      <c r="F28" s="63" t="s">
        <v>159</v>
      </c>
      <c r="H28" s="67" t="s">
        <v>207</v>
      </c>
      <c r="I28" s="67" t="s">
        <v>27</v>
      </c>
      <c r="J28" s="67">
        <v>129</v>
      </c>
      <c r="K28" s="68">
        <v>45863</v>
      </c>
      <c r="L28" s="67">
        <v>10</v>
      </c>
      <c r="M28" s="67" t="s">
        <v>208</v>
      </c>
    </row>
    <row r="29" spans="1:15" ht="15" customHeight="1" x14ac:dyDescent="0.25">
      <c r="A29" s="65">
        <v>2</v>
      </c>
      <c r="B29" s="65" t="s">
        <v>27</v>
      </c>
      <c r="C29" s="65">
        <v>2</v>
      </c>
      <c r="D29" s="65">
        <v>1</v>
      </c>
      <c r="E29" s="66">
        <v>0.5</v>
      </c>
      <c r="F29" s="65" t="s">
        <v>159</v>
      </c>
      <c r="H29" s="67" t="s">
        <v>207</v>
      </c>
      <c r="I29" s="67" t="s">
        <v>29</v>
      </c>
      <c r="J29" s="67">
        <v>985</v>
      </c>
      <c r="K29" s="68">
        <v>45858</v>
      </c>
      <c r="L29" s="67">
        <v>15</v>
      </c>
      <c r="M29" s="67" t="s">
        <v>208</v>
      </c>
    </row>
    <row r="30" spans="1:15" ht="15" customHeight="1" x14ac:dyDescent="0.25">
      <c r="A30" s="63">
        <v>1</v>
      </c>
      <c r="B30" s="63" t="s">
        <v>20</v>
      </c>
      <c r="C30" s="63">
        <v>5</v>
      </c>
      <c r="D30" s="63">
        <v>1</v>
      </c>
      <c r="E30" s="64">
        <v>0.2</v>
      </c>
      <c r="F30" s="63" t="s">
        <v>159</v>
      </c>
      <c r="H30" s="67" t="s">
        <v>207</v>
      </c>
      <c r="I30" s="67" t="s">
        <v>27</v>
      </c>
      <c r="J30" s="67">
        <v>129</v>
      </c>
      <c r="K30" s="68">
        <v>45863</v>
      </c>
      <c r="L30" s="67">
        <v>16</v>
      </c>
      <c r="M30" s="67" t="s">
        <v>208</v>
      </c>
    </row>
    <row r="31" spans="1:15" ht="15" customHeight="1" x14ac:dyDescent="0.25">
      <c r="A31" s="63">
        <v>2</v>
      </c>
      <c r="B31" s="63" t="s">
        <v>27</v>
      </c>
      <c r="C31" s="63">
        <v>2</v>
      </c>
      <c r="D31" s="63">
        <v>1</v>
      </c>
      <c r="E31" s="64">
        <v>0.5</v>
      </c>
      <c r="F31" s="63" t="s">
        <v>159</v>
      </c>
      <c r="H31" s="67" t="s">
        <v>207</v>
      </c>
      <c r="I31" s="67" t="s">
        <v>29</v>
      </c>
      <c r="J31" s="67">
        <v>985</v>
      </c>
      <c r="K31" s="68">
        <v>45858</v>
      </c>
      <c r="L31" s="67">
        <v>21</v>
      </c>
      <c r="M31" s="67" t="s">
        <v>208</v>
      </c>
    </row>
    <row r="32" spans="1:15" ht="15" customHeight="1" x14ac:dyDescent="0.25">
      <c r="A32" s="63">
        <v>3</v>
      </c>
      <c r="B32" s="63" t="s">
        <v>28</v>
      </c>
      <c r="C32" s="63">
        <v>2</v>
      </c>
      <c r="D32" s="63">
        <v>1</v>
      </c>
      <c r="E32" s="64">
        <v>0.5</v>
      </c>
      <c r="F32" s="63" t="s">
        <v>159</v>
      </c>
      <c r="H32" s="71" t="s">
        <v>207</v>
      </c>
      <c r="I32" s="71" t="s">
        <v>20</v>
      </c>
      <c r="J32" s="71">
        <v>325</v>
      </c>
      <c r="K32" s="72">
        <v>45863</v>
      </c>
      <c r="L32" s="71">
        <v>16</v>
      </c>
      <c r="M32" s="71" t="s">
        <v>208</v>
      </c>
    </row>
    <row r="33" spans="1:14" ht="15" customHeight="1" x14ac:dyDescent="0.25">
      <c r="A33" s="38">
        <v>4</v>
      </c>
      <c r="B33" s="38" t="s">
        <v>15</v>
      </c>
      <c r="C33" s="38">
        <v>2</v>
      </c>
      <c r="D33" s="38">
        <v>2</v>
      </c>
      <c r="E33" s="51">
        <v>1</v>
      </c>
      <c r="F33" s="38" t="s">
        <v>159</v>
      </c>
      <c r="H33" s="73" t="s">
        <v>207</v>
      </c>
      <c r="I33" s="73" t="s">
        <v>28</v>
      </c>
      <c r="J33" s="73">
        <v>135</v>
      </c>
      <c r="K33" s="74">
        <v>45863</v>
      </c>
      <c r="L33" s="73">
        <v>16</v>
      </c>
      <c r="M33" s="73" t="s">
        <v>208</v>
      </c>
    </row>
    <row r="34" spans="1:14" ht="15" customHeight="1" x14ac:dyDescent="0.25">
      <c r="A34" s="38">
        <v>5</v>
      </c>
      <c r="B34" s="38" t="s">
        <v>29</v>
      </c>
      <c r="C34" s="38">
        <v>2</v>
      </c>
      <c r="D34" s="38">
        <v>1</v>
      </c>
      <c r="E34" s="51">
        <v>0.5</v>
      </c>
      <c r="F34" s="38" t="s">
        <v>159</v>
      </c>
      <c r="H34" s="73" t="s">
        <v>207</v>
      </c>
      <c r="I34" s="73" t="s">
        <v>38</v>
      </c>
      <c r="J34" s="73">
        <v>125</v>
      </c>
      <c r="K34" s="74">
        <v>45869</v>
      </c>
      <c r="L34" s="73">
        <v>10</v>
      </c>
      <c r="M34" s="73" t="s">
        <v>208</v>
      </c>
    </row>
    <row r="35" spans="1:14" ht="15" customHeight="1" x14ac:dyDescent="0.25"/>
    <row r="36" spans="1:14" ht="15" customHeight="1" x14ac:dyDescent="0.25"/>
    <row r="37" spans="1:14" ht="15" customHeight="1" x14ac:dyDescent="0.25">
      <c r="A37" s="100" t="s">
        <v>161</v>
      </c>
      <c r="B37" s="100"/>
      <c r="C37" s="100"/>
      <c r="D37" s="100"/>
      <c r="E37" s="100"/>
      <c r="F37" s="100"/>
      <c r="G37" s="100"/>
      <c r="H37" s="100"/>
      <c r="I37" s="100"/>
      <c r="J37" s="100"/>
      <c r="K37" s="100"/>
      <c r="L37" s="100"/>
      <c r="M37" s="100"/>
      <c r="N37" s="100"/>
    </row>
    <row r="38" spans="1:14" ht="15" customHeight="1" x14ac:dyDescent="0.25">
      <c r="A38" s="52"/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</row>
    <row r="39" spans="1:14" ht="15" customHeight="1" x14ac:dyDescent="0.25">
      <c r="A39" s="53" t="s">
        <v>162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</row>
    <row r="40" spans="1:14" ht="15" customHeight="1" x14ac:dyDescent="0.25">
      <c r="A40" s="53" t="s">
        <v>163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</row>
    <row r="41" spans="1:14" ht="15" customHeight="1" x14ac:dyDescent="0.25">
      <c r="A41" s="52"/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</row>
    <row r="42" spans="1:14" ht="15" customHeight="1" x14ac:dyDescent="0.25">
      <c r="A42" s="52"/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</row>
    <row r="43" spans="1:14" ht="15" customHeight="1" x14ac:dyDescent="0.25">
      <c r="A43" s="52"/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</row>
    <row r="44" spans="1:14" ht="15" customHeight="1" x14ac:dyDescent="0.25">
      <c r="A44" s="52"/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</row>
    <row r="45" spans="1:14" ht="15" customHeight="1" x14ac:dyDescent="0.25">
      <c r="A45" s="52"/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</row>
    <row r="46" spans="1:14" ht="15" customHeight="1" x14ac:dyDescent="0.25"/>
    <row r="47" spans="1:14" ht="15" customHeight="1" x14ac:dyDescent="0.25">
      <c r="A47" s="100" t="s">
        <v>164</v>
      </c>
      <c r="B47" s="100"/>
      <c r="C47" s="100"/>
      <c r="D47" s="100"/>
      <c r="E47" s="100"/>
    </row>
    <row r="48" spans="1:14" ht="15" customHeight="1" x14ac:dyDescent="0.25">
      <c r="A48" s="55" t="s">
        <v>165</v>
      </c>
      <c r="B48" s="55" t="s">
        <v>166</v>
      </c>
      <c r="C48" s="55" t="s">
        <v>167</v>
      </c>
      <c r="D48" s="55" t="s">
        <v>168</v>
      </c>
      <c r="E48" s="55" t="s">
        <v>169</v>
      </c>
    </row>
    <row r="49" spans="1:5" ht="15" customHeight="1" x14ac:dyDescent="0.25">
      <c r="A49" s="40" t="s">
        <v>170</v>
      </c>
      <c r="B49" s="57">
        <f t="shared" ref="B49:B55" ca="1" si="0">RAND()*10+5</f>
        <v>14.026103807301814</v>
      </c>
      <c r="C49" s="57">
        <f t="shared" ref="C49:C55" ca="1" si="1">B49*0.8</f>
        <v>11.220883045841452</v>
      </c>
      <c r="D49" s="58">
        <f t="shared" ref="D49:D55" ca="1" si="2">RAND()*5+2</f>
        <v>5.4864734851727164</v>
      </c>
      <c r="E49" s="56">
        <f t="shared" ref="E49:E55" ca="1" si="3">C49/B49</f>
        <v>0.8</v>
      </c>
    </row>
    <row r="50" spans="1:5" ht="15" customHeight="1" x14ac:dyDescent="0.25">
      <c r="A50" s="40" t="s">
        <v>171</v>
      </c>
      <c r="B50" s="57">
        <f t="shared" ca="1" si="0"/>
        <v>9.9714336498535179</v>
      </c>
      <c r="C50" s="57">
        <f t="shared" ca="1" si="1"/>
        <v>7.9771469198828147</v>
      </c>
      <c r="D50" s="58">
        <f t="shared" ca="1" si="2"/>
        <v>6.7651262062568769</v>
      </c>
      <c r="E50" s="56">
        <f t="shared" ca="1" si="3"/>
        <v>0.8</v>
      </c>
    </row>
    <row r="51" spans="1:5" ht="15" customHeight="1" x14ac:dyDescent="0.25">
      <c r="A51" s="40" t="s">
        <v>172</v>
      </c>
      <c r="B51" s="57">
        <f t="shared" ca="1" si="0"/>
        <v>9.2731506753199469</v>
      </c>
      <c r="C51" s="57">
        <f t="shared" ca="1" si="1"/>
        <v>7.4185205402559582</v>
      </c>
      <c r="D51" s="58">
        <f t="shared" ca="1" si="2"/>
        <v>2.593467961312053</v>
      </c>
      <c r="E51" s="56">
        <f t="shared" ca="1" si="3"/>
        <v>0.8</v>
      </c>
    </row>
    <row r="52" spans="1:5" ht="15" customHeight="1" x14ac:dyDescent="0.25">
      <c r="A52" s="40" t="s">
        <v>173</v>
      </c>
      <c r="B52" s="57">
        <f t="shared" ca="1" si="0"/>
        <v>12.795223441461218</v>
      </c>
      <c r="C52" s="57">
        <f t="shared" ca="1" si="1"/>
        <v>10.236178753168975</v>
      </c>
      <c r="D52" s="58">
        <f t="shared" ca="1" si="2"/>
        <v>6.1930952042125123</v>
      </c>
      <c r="E52" s="56">
        <f t="shared" ca="1" si="3"/>
        <v>0.8</v>
      </c>
    </row>
    <row r="53" spans="1:5" ht="15" customHeight="1" x14ac:dyDescent="0.25">
      <c r="A53" s="40" t="s">
        <v>174</v>
      </c>
      <c r="B53" s="57">
        <f t="shared" ca="1" si="0"/>
        <v>14.611240116899571</v>
      </c>
      <c r="C53" s="57">
        <f t="shared" ca="1" si="1"/>
        <v>11.688992093519659</v>
      </c>
      <c r="D53" s="58">
        <f t="shared" ca="1" si="2"/>
        <v>5.3745140392503998</v>
      </c>
      <c r="E53" s="56">
        <f t="shared" ca="1" si="3"/>
        <v>0.8</v>
      </c>
    </row>
    <row r="54" spans="1:5" ht="15" customHeight="1" x14ac:dyDescent="0.25">
      <c r="A54" s="40" t="s">
        <v>175</v>
      </c>
      <c r="B54" s="57">
        <f t="shared" ca="1" si="0"/>
        <v>13.198274645704025</v>
      </c>
      <c r="C54" s="57">
        <f t="shared" ca="1" si="1"/>
        <v>10.558619716563221</v>
      </c>
      <c r="D54" s="58">
        <f t="shared" ca="1" si="2"/>
        <v>6.9443162950179209</v>
      </c>
      <c r="E54" s="56">
        <f t="shared" ca="1" si="3"/>
        <v>0.80000000000000016</v>
      </c>
    </row>
    <row r="55" spans="1:5" ht="15" customHeight="1" x14ac:dyDescent="0.25">
      <c r="A55" s="40" t="s">
        <v>176</v>
      </c>
      <c r="B55" s="57">
        <f t="shared" ca="1" si="0"/>
        <v>14.956659067467418</v>
      </c>
      <c r="C55" s="57">
        <f t="shared" ca="1" si="1"/>
        <v>11.965327253973935</v>
      </c>
      <c r="D55" s="58">
        <f t="shared" ca="1" si="2"/>
        <v>6.3244358957074391</v>
      </c>
      <c r="E55" s="56">
        <f t="shared" ca="1" si="3"/>
        <v>0.8</v>
      </c>
    </row>
    <row r="56" spans="1:5" ht="15" customHeight="1" x14ac:dyDescent="0.25"/>
    <row r="57" spans="1:5" ht="15" customHeight="1" x14ac:dyDescent="0.25"/>
    <row r="58" spans="1:5" ht="15" customHeight="1" x14ac:dyDescent="0.25"/>
    <row r="59" spans="1:5" ht="15" customHeight="1" x14ac:dyDescent="0.25"/>
    <row r="60" spans="1:5" ht="15" customHeight="1" x14ac:dyDescent="0.25"/>
    <row r="61" spans="1:5" ht="15" customHeight="1" x14ac:dyDescent="0.25"/>
    <row r="62" spans="1:5" ht="15" customHeight="1" x14ac:dyDescent="0.25"/>
    <row r="63" spans="1:5" ht="15" customHeight="1" x14ac:dyDescent="0.25"/>
    <row r="64" spans="1:5" ht="15" customHeight="1" x14ac:dyDescent="0.25"/>
    <row r="65" ht="15" customHeight="1" x14ac:dyDescent="0.25"/>
    <row r="66" ht="15" customHeight="1" x14ac:dyDescent="0.25"/>
    <row r="67" ht="15" customHeight="1" x14ac:dyDescent="0.25"/>
    <row r="68" ht="15" customHeight="1" x14ac:dyDescent="0.25"/>
    <row r="69" ht="15" customHeight="1" x14ac:dyDescent="0.25"/>
    <row r="70" ht="15" customHeight="1" x14ac:dyDescent="0.25"/>
    <row r="71" ht="15" customHeight="1" x14ac:dyDescent="0.25"/>
    <row r="72" ht="15" customHeight="1" x14ac:dyDescent="0.25"/>
    <row r="73" ht="15" customHeight="1" x14ac:dyDescent="0.25"/>
    <row r="74" ht="15" customHeight="1" x14ac:dyDescent="0.25"/>
    <row r="75" ht="15" customHeight="1" x14ac:dyDescent="0.25"/>
    <row r="76" ht="15" customHeight="1" x14ac:dyDescent="0.25"/>
    <row r="77" ht="15" customHeight="1" x14ac:dyDescent="0.25"/>
    <row r="78" ht="15" customHeight="1" x14ac:dyDescent="0.25"/>
    <row r="79" ht="15" customHeight="1" x14ac:dyDescent="0.25"/>
    <row r="80" ht="15" customHeight="1" x14ac:dyDescent="0.25"/>
    <row r="81" ht="15" customHeight="1" x14ac:dyDescent="0.25"/>
    <row r="82" ht="15" customHeight="1" x14ac:dyDescent="0.25"/>
    <row r="83" ht="15" customHeight="1" x14ac:dyDescent="0.25"/>
    <row r="84" ht="15" customHeight="1" x14ac:dyDescent="0.25"/>
    <row r="85" ht="15" customHeight="1" x14ac:dyDescent="0.25"/>
    <row r="86" ht="15" customHeight="1" x14ac:dyDescent="0.25"/>
    <row r="87" ht="15" customHeight="1" x14ac:dyDescent="0.25"/>
    <row r="88" ht="15" customHeight="1" x14ac:dyDescent="0.25"/>
    <row r="89" ht="15" customHeight="1" x14ac:dyDescent="0.25"/>
    <row r="90" ht="15" customHeight="1" x14ac:dyDescent="0.25"/>
    <row r="91" ht="15" customHeight="1" x14ac:dyDescent="0.25"/>
    <row r="92" ht="15" customHeight="1" x14ac:dyDescent="0.25"/>
    <row r="93" ht="15" customHeight="1" x14ac:dyDescent="0.25"/>
    <row r="94" ht="15" customHeight="1" x14ac:dyDescent="0.25"/>
    <row r="95" ht="15" customHeight="1" x14ac:dyDescent="0.25"/>
    <row r="96" ht="15" customHeight="1" x14ac:dyDescent="0.25"/>
    <row r="97" ht="15" customHeight="1" x14ac:dyDescent="0.25"/>
    <row r="98" ht="15" customHeight="1" x14ac:dyDescent="0.25"/>
    <row r="99" ht="15" customHeight="1" x14ac:dyDescent="0.25"/>
    <row r="100" ht="15" customHeight="1" x14ac:dyDescent="0.25"/>
  </sheetData>
  <mergeCells count="21">
    <mergeCell ref="A37:N37"/>
    <mergeCell ref="A47:E47"/>
    <mergeCell ref="E8:G8"/>
    <mergeCell ref="I5:K5"/>
    <mergeCell ref="I6:K6"/>
    <mergeCell ref="I7:K7"/>
    <mergeCell ref="M5:O5"/>
    <mergeCell ref="M6:O6"/>
    <mergeCell ref="M7:O7"/>
    <mergeCell ref="A5:C5"/>
    <mergeCell ref="A6:C6"/>
    <mergeCell ref="A7:C7"/>
    <mergeCell ref="E5:G5"/>
    <mergeCell ref="E6:G6"/>
    <mergeCell ref="E7:G7"/>
    <mergeCell ref="P1:R1"/>
    <mergeCell ref="A10:G10"/>
    <mergeCell ref="I10:O10"/>
    <mergeCell ref="A27:F27"/>
    <mergeCell ref="H27:M27"/>
    <mergeCell ref="A1:M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96B6D-C998-42ED-A1A9-B7555666FC9F}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6697E-C8F9-43AC-9886-C76409154079}">
  <sheetPr codeName="Лист9">
    <tabColor rgb="FF92D05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318B7C-0812-4B40-966B-EAA5E69C0960}">
  <sheetPr codeName="Лист1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pageSetUpPr fitToPage="1"/>
  </sheetPr>
  <dimension ref="A1:AF44"/>
  <sheetViews>
    <sheetView view="pageBreakPreview" zoomScale="110" zoomScaleNormal="100" zoomScaleSheetLayoutView="110" workbookViewId="0">
      <selection activeCell="I19" sqref="I19"/>
    </sheetView>
  </sheetViews>
  <sheetFormatPr defaultRowHeight="15" x14ac:dyDescent="0.25"/>
  <cols>
    <col min="1" max="1" width="6" customWidth="1"/>
    <col min="2" max="5" width="12.7109375" customWidth="1"/>
    <col min="6" max="6" width="16.140625" bestFit="1" customWidth="1"/>
    <col min="7" max="7" width="12.7109375" customWidth="1"/>
    <col min="8" max="8" width="14.85546875" customWidth="1"/>
    <col min="9" max="10" width="12.7109375" customWidth="1"/>
    <col min="11" max="11" width="19.5703125" customWidth="1"/>
    <col min="12" max="17" width="12.7109375" customWidth="1"/>
    <col min="18" max="18" width="15" customWidth="1"/>
    <col min="19" max="19" width="17" bestFit="1" customWidth="1"/>
    <col min="20" max="20" width="24" bestFit="1" customWidth="1"/>
  </cols>
  <sheetData>
    <row r="1" spans="1:32" s="1" customFormat="1" ht="73.5" customHeight="1" x14ac:dyDescent="0.25">
      <c r="A1" s="2" t="s">
        <v>0</v>
      </c>
      <c r="B1" s="9" t="s">
        <v>1</v>
      </c>
      <c r="C1" s="9" t="s">
        <v>36</v>
      </c>
      <c r="D1" s="9" t="s">
        <v>11</v>
      </c>
      <c r="E1" s="9" t="s">
        <v>2</v>
      </c>
      <c r="F1" s="9" t="s">
        <v>3</v>
      </c>
      <c r="G1" s="9" t="s">
        <v>13</v>
      </c>
      <c r="H1" s="9" t="s">
        <v>14</v>
      </c>
      <c r="I1" s="9" t="s">
        <v>4</v>
      </c>
      <c r="J1" s="9" t="s">
        <v>5</v>
      </c>
      <c r="K1" s="9" t="s">
        <v>6</v>
      </c>
      <c r="L1" s="9" t="s">
        <v>7</v>
      </c>
      <c r="M1" s="9" t="s">
        <v>8</v>
      </c>
      <c r="N1" s="9" t="s">
        <v>9</v>
      </c>
      <c r="O1" s="9" t="s">
        <v>10</v>
      </c>
      <c r="P1" s="9" t="s">
        <v>45</v>
      </c>
      <c r="Q1" s="9" t="s">
        <v>46</v>
      </c>
      <c r="R1" s="9" t="s">
        <v>43</v>
      </c>
      <c r="S1" s="9" t="s">
        <v>12</v>
      </c>
      <c r="T1" s="69" t="s">
        <v>212</v>
      </c>
      <c r="U1" s="69" t="s">
        <v>1425</v>
      </c>
      <c r="V1" s="69" t="s">
        <v>1426</v>
      </c>
      <c r="W1" s="69" t="s">
        <v>1427</v>
      </c>
      <c r="X1" s="69" t="s">
        <v>1428</v>
      </c>
      <c r="Y1" s="69" t="s">
        <v>1429</v>
      </c>
      <c r="Z1" s="69" t="s">
        <v>1430</v>
      </c>
      <c r="AA1" s="69" t="s">
        <v>1431</v>
      </c>
      <c r="AB1" s="69" t="s">
        <v>1432</v>
      </c>
      <c r="AC1" s="69" t="s">
        <v>1433</v>
      </c>
      <c r="AD1" s="69" t="s">
        <v>1434</v>
      </c>
      <c r="AE1" s="69" t="s">
        <v>1435</v>
      </c>
      <c r="AF1" s="69" t="s">
        <v>1436</v>
      </c>
    </row>
    <row r="2" spans="1:32" ht="15.75" x14ac:dyDescent="0.25">
      <c r="A2" s="3">
        <v>1</v>
      </c>
      <c r="B2" s="5" t="s">
        <v>16</v>
      </c>
      <c r="C2" s="5" t="s">
        <v>21</v>
      </c>
      <c r="D2" s="5" t="s">
        <v>17</v>
      </c>
      <c r="E2" s="5" t="s">
        <v>1490</v>
      </c>
      <c r="F2" s="5">
        <v>777</v>
      </c>
      <c r="G2" s="5">
        <v>456</v>
      </c>
      <c r="H2" s="7">
        <v>45863</v>
      </c>
      <c r="I2" s="5">
        <v>65384</v>
      </c>
      <c r="J2" s="5"/>
      <c r="K2" s="5" t="s">
        <v>1491</v>
      </c>
      <c r="L2" s="5">
        <v>100</v>
      </c>
      <c r="M2" s="7">
        <v>45839</v>
      </c>
      <c r="N2" s="5">
        <v>250</v>
      </c>
      <c r="O2" s="7">
        <v>45853</v>
      </c>
      <c r="P2" s="5">
        <v>734</v>
      </c>
      <c r="Q2" s="7">
        <v>45870</v>
      </c>
      <c r="R2" s="5"/>
      <c r="S2" s="5"/>
      <c r="T2" s="5"/>
      <c r="U2" s="93" t="s">
        <v>1492</v>
      </c>
      <c r="V2" s="93"/>
      <c r="W2" s="93"/>
      <c r="X2" s="93"/>
      <c r="Y2" s="93">
        <v>65384</v>
      </c>
      <c r="Z2" s="93" t="b">
        <v>1</v>
      </c>
      <c r="AA2" s="93">
        <v>1</v>
      </c>
      <c r="AB2" s="93">
        <v>123</v>
      </c>
      <c r="AC2" s="93" t="s">
        <v>1497</v>
      </c>
      <c r="AD2" s="93"/>
      <c r="AE2" s="93"/>
      <c r="AF2" s="93" t="s">
        <v>1489</v>
      </c>
    </row>
    <row r="3" spans="1:32" ht="15.75" x14ac:dyDescent="0.25">
      <c r="A3" s="3">
        <v>2</v>
      </c>
      <c r="B3" s="5" t="s">
        <v>27</v>
      </c>
      <c r="C3" s="5" t="s">
        <v>21</v>
      </c>
      <c r="D3" s="5" t="s">
        <v>47</v>
      </c>
      <c r="E3" s="5">
        <v>129</v>
      </c>
      <c r="F3" s="5">
        <v>6680510</v>
      </c>
      <c r="G3" s="5">
        <v>555</v>
      </c>
      <c r="H3" s="7">
        <v>45863</v>
      </c>
      <c r="I3" s="5">
        <v>81510</v>
      </c>
      <c r="J3" s="5"/>
      <c r="K3" s="5" t="s">
        <v>31</v>
      </c>
      <c r="L3" s="5">
        <v>111</v>
      </c>
      <c r="M3" s="7">
        <v>45840</v>
      </c>
      <c r="N3" s="5">
        <v>256</v>
      </c>
      <c r="O3" s="7">
        <v>45854</v>
      </c>
      <c r="P3" s="5"/>
      <c r="Q3" s="7"/>
      <c r="R3" s="5"/>
      <c r="S3" s="5"/>
      <c r="T3" s="5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</row>
    <row r="4" spans="1:32" ht="15.75" x14ac:dyDescent="0.25">
      <c r="A4" s="3">
        <v>3</v>
      </c>
      <c r="B4" s="5" t="s">
        <v>28</v>
      </c>
      <c r="C4" s="5" t="s">
        <v>42</v>
      </c>
      <c r="D4" s="5" t="s">
        <v>37</v>
      </c>
      <c r="E4" s="5">
        <v>135</v>
      </c>
      <c r="F4" s="5">
        <v>2118400</v>
      </c>
      <c r="G4" s="5">
        <v>654</v>
      </c>
      <c r="H4" s="7">
        <v>45863</v>
      </c>
      <c r="I4" s="5">
        <v>20634</v>
      </c>
      <c r="J4" s="5"/>
      <c r="K4" s="5" t="s">
        <v>32</v>
      </c>
      <c r="L4" s="5"/>
      <c r="M4" s="7"/>
      <c r="N4" s="5"/>
      <c r="O4" s="7"/>
      <c r="P4" s="5">
        <v>526</v>
      </c>
      <c r="Q4" s="7">
        <v>45871</v>
      </c>
      <c r="R4" s="5"/>
      <c r="S4" s="86"/>
      <c r="T4" s="5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</row>
    <row r="5" spans="1:32" ht="15.75" x14ac:dyDescent="0.25">
      <c r="A5" s="3">
        <v>4</v>
      </c>
      <c r="B5" s="5" t="s">
        <v>15</v>
      </c>
      <c r="C5" s="5" t="s">
        <v>21</v>
      </c>
      <c r="D5" s="5" t="s">
        <v>48</v>
      </c>
      <c r="E5" s="5">
        <v>141</v>
      </c>
      <c r="F5" s="5">
        <v>5918800</v>
      </c>
      <c r="G5" s="5">
        <v>753</v>
      </c>
      <c r="H5" s="7">
        <v>45863</v>
      </c>
      <c r="I5" s="5">
        <v>74814</v>
      </c>
      <c r="J5" s="5"/>
      <c r="K5" s="5" t="s">
        <v>33</v>
      </c>
      <c r="L5" s="5">
        <v>133</v>
      </c>
      <c r="M5" s="7">
        <v>45842</v>
      </c>
      <c r="N5" s="5">
        <v>268</v>
      </c>
      <c r="O5" s="7">
        <v>45856</v>
      </c>
      <c r="P5" s="5">
        <v>508</v>
      </c>
      <c r="Q5" s="7">
        <v>45893</v>
      </c>
      <c r="R5" s="5"/>
      <c r="S5" s="5"/>
      <c r="T5" s="5" t="s">
        <v>213</v>
      </c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</row>
    <row r="6" spans="1:32" ht="15.75" x14ac:dyDescent="0.25">
      <c r="A6" s="3">
        <v>5</v>
      </c>
      <c r="B6" s="5" t="s">
        <v>29</v>
      </c>
      <c r="C6" s="5" t="s">
        <v>42</v>
      </c>
      <c r="D6" s="5" t="s">
        <v>47</v>
      </c>
      <c r="E6" s="5">
        <v>985</v>
      </c>
      <c r="F6" s="5">
        <v>5918800</v>
      </c>
      <c r="G6" s="5">
        <v>111</v>
      </c>
      <c r="H6" s="7">
        <v>45858</v>
      </c>
      <c r="I6" s="5">
        <v>16544</v>
      </c>
      <c r="J6" s="5"/>
      <c r="K6" s="5" t="s">
        <v>34</v>
      </c>
      <c r="L6" s="5"/>
      <c r="M6" s="7"/>
      <c r="N6" s="5"/>
      <c r="O6" s="7"/>
      <c r="P6" s="5"/>
      <c r="Q6" s="7"/>
      <c r="R6" s="5"/>
      <c r="S6" s="5"/>
      <c r="T6" s="5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</row>
    <row r="7" spans="1:32" ht="15.75" x14ac:dyDescent="0.25">
      <c r="A7" s="3">
        <v>6</v>
      </c>
      <c r="B7" s="5" t="s">
        <v>30</v>
      </c>
      <c r="C7" s="5" t="s">
        <v>21</v>
      </c>
      <c r="D7" s="5" t="s">
        <v>37</v>
      </c>
      <c r="E7" s="5">
        <v>153</v>
      </c>
      <c r="F7" s="5">
        <v>5918800</v>
      </c>
      <c r="G7" s="5">
        <v>951</v>
      </c>
      <c r="H7" s="7">
        <v>45863</v>
      </c>
      <c r="I7" s="5">
        <v>16544</v>
      </c>
      <c r="J7" s="5"/>
      <c r="K7" s="5" t="s">
        <v>35</v>
      </c>
      <c r="L7" s="5">
        <v>155</v>
      </c>
      <c r="M7" s="7">
        <v>45844</v>
      </c>
      <c r="N7" s="5">
        <v>280</v>
      </c>
      <c r="O7" s="7">
        <v>45858</v>
      </c>
      <c r="P7" s="5"/>
      <c r="Q7" s="7"/>
      <c r="R7" s="5"/>
      <c r="S7" s="5"/>
      <c r="T7" s="5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</row>
    <row r="8" spans="1:32" ht="15.75" x14ac:dyDescent="0.25">
      <c r="A8" s="3">
        <v>7</v>
      </c>
      <c r="B8" s="5" t="s">
        <v>20</v>
      </c>
      <c r="C8" s="5" t="s">
        <v>21</v>
      </c>
      <c r="D8" s="5" t="s">
        <v>48</v>
      </c>
      <c r="E8" s="5">
        <v>325</v>
      </c>
      <c r="F8" s="5">
        <v>4291400</v>
      </c>
      <c r="G8" s="5">
        <v>123</v>
      </c>
      <c r="H8" s="7">
        <v>45863</v>
      </c>
      <c r="I8" s="5">
        <v>31580</v>
      </c>
      <c r="J8" s="5"/>
      <c r="K8" s="5" t="s">
        <v>22</v>
      </c>
      <c r="L8" s="5">
        <v>166</v>
      </c>
      <c r="M8" s="7">
        <v>45845</v>
      </c>
      <c r="N8" s="5">
        <v>286</v>
      </c>
      <c r="O8" s="7">
        <v>45859</v>
      </c>
      <c r="P8" s="5"/>
      <c r="Q8" s="7"/>
      <c r="R8" s="5"/>
      <c r="S8" s="5"/>
      <c r="T8" s="5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</row>
    <row r="9" spans="1:32" ht="15.75" x14ac:dyDescent="0.25">
      <c r="A9" s="3">
        <v>8</v>
      </c>
      <c r="B9" s="5" t="s">
        <v>27</v>
      </c>
      <c r="C9" s="5" t="s">
        <v>42</v>
      </c>
      <c r="D9" s="5" t="s">
        <v>47</v>
      </c>
      <c r="E9" s="5">
        <v>129</v>
      </c>
      <c r="F9" s="5">
        <v>5503011.5999999996</v>
      </c>
      <c r="G9" s="5">
        <v>555</v>
      </c>
      <c r="H9" s="7">
        <v>45863</v>
      </c>
      <c r="I9" s="5">
        <v>16544</v>
      </c>
      <c r="J9" s="5"/>
      <c r="K9" s="5" t="s">
        <v>31</v>
      </c>
      <c r="L9" s="5"/>
      <c r="M9" s="7"/>
      <c r="N9" s="5"/>
      <c r="O9" s="7"/>
      <c r="P9" s="5">
        <v>780</v>
      </c>
      <c r="Q9" s="7">
        <v>45870</v>
      </c>
      <c r="R9" s="5"/>
      <c r="S9" s="86"/>
      <c r="T9" s="5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</row>
    <row r="10" spans="1:32" ht="15.75" x14ac:dyDescent="0.25">
      <c r="A10" s="3">
        <v>9</v>
      </c>
      <c r="B10" s="5" t="s">
        <v>28</v>
      </c>
      <c r="C10" s="5" t="s">
        <v>21</v>
      </c>
      <c r="D10" s="5" t="s">
        <v>37</v>
      </c>
      <c r="E10" s="5">
        <v>135</v>
      </c>
      <c r="F10" s="5">
        <v>4236800</v>
      </c>
      <c r="G10" s="5">
        <v>654</v>
      </c>
      <c r="H10" s="7">
        <v>45863</v>
      </c>
      <c r="I10" s="5">
        <v>31580</v>
      </c>
      <c r="J10" s="5"/>
      <c r="K10" s="5" t="s">
        <v>32</v>
      </c>
      <c r="L10" s="5">
        <v>188</v>
      </c>
      <c r="M10" s="7">
        <v>45847</v>
      </c>
      <c r="N10" s="5">
        <v>298</v>
      </c>
      <c r="O10" s="7">
        <v>45861</v>
      </c>
      <c r="P10" s="5"/>
      <c r="Q10" s="7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</row>
    <row r="11" spans="1:32" ht="15.75" x14ac:dyDescent="0.25">
      <c r="A11" s="3">
        <v>10</v>
      </c>
      <c r="B11" s="5" t="s">
        <v>15</v>
      </c>
      <c r="C11" s="5" t="s">
        <v>21</v>
      </c>
      <c r="D11" s="5" t="s">
        <v>48</v>
      </c>
      <c r="E11" s="5">
        <v>141</v>
      </c>
      <c r="F11" s="5">
        <v>27883177.5</v>
      </c>
      <c r="G11" s="5">
        <v>753</v>
      </c>
      <c r="H11" s="7">
        <v>45863</v>
      </c>
      <c r="I11" s="5" t="s">
        <v>221</v>
      </c>
      <c r="J11" s="5"/>
      <c r="K11" s="5" t="s">
        <v>33</v>
      </c>
      <c r="L11" s="5">
        <v>199</v>
      </c>
      <c r="M11" s="7">
        <v>45848</v>
      </c>
      <c r="N11" s="5">
        <v>304</v>
      </c>
      <c r="O11" s="7">
        <v>45862</v>
      </c>
      <c r="P11" s="5">
        <v>708</v>
      </c>
      <c r="Q11" s="7">
        <v>45876</v>
      </c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</row>
    <row r="12" spans="1:32" ht="15.75" x14ac:dyDescent="0.25">
      <c r="A12" s="3">
        <v>11</v>
      </c>
      <c r="B12" s="5" t="s">
        <v>29</v>
      </c>
      <c r="C12" s="5" t="s">
        <v>42</v>
      </c>
      <c r="D12" s="5" t="s">
        <v>47</v>
      </c>
      <c r="E12" s="5">
        <v>147</v>
      </c>
      <c r="F12" s="5">
        <v>53258955</v>
      </c>
      <c r="G12" s="5">
        <v>852</v>
      </c>
      <c r="H12" s="7">
        <v>45863</v>
      </c>
      <c r="I12" s="5" t="s">
        <v>221</v>
      </c>
      <c r="J12" s="5"/>
      <c r="K12" s="5" t="s">
        <v>34</v>
      </c>
      <c r="L12" s="5"/>
      <c r="M12" s="7"/>
      <c r="N12" s="5"/>
      <c r="O12" s="7"/>
      <c r="P12" s="5">
        <v>559</v>
      </c>
      <c r="Q12" s="7">
        <v>45872</v>
      </c>
      <c r="R12" s="5"/>
      <c r="S12" s="86"/>
      <c r="T12" s="5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</row>
    <row r="13" spans="1:32" ht="15.75" x14ac:dyDescent="0.25">
      <c r="A13" s="3">
        <v>12</v>
      </c>
      <c r="B13" s="5" t="s">
        <v>30</v>
      </c>
      <c r="C13" s="5" t="s">
        <v>21</v>
      </c>
      <c r="D13" s="5" t="s">
        <v>37</v>
      </c>
      <c r="E13" s="5">
        <v>153</v>
      </c>
      <c r="F13" s="5">
        <v>5503011.5999999996</v>
      </c>
      <c r="G13" s="5">
        <v>951</v>
      </c>
      <c r="H13" s="7">
        <v>45863</v>
      </c>
      <c r="I13" s="5">
        <v>16544</v>
      </c>
      <c r="J13" s="5"/>
      <c r="K13" s="5" t="s">
        <v>35</v>
      </c>
      <c r="L13" s="5">
        <v>221</v>
      </c>
      <c r="M13" s="7">
        <v>45850</v>
      </c>
      <c r="N13" s="5">
        <v>316</v>
      </c>
      <c r="O13" s="7">
        <v>45864</v>
      </c>
      <c r="P13" s="5">
        <v>644</v>
      </c>
      <c r="Q13" s="7">
        <v>45866</v>
      </c>
      <c r="R13" s="5"/>
      <c r="S13" s="5"/>
      <c r="T13" s="5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</row>
    <row r="14" spans="1:32" ht="15.75" x14ac:dyDescent="0.25">
      <c r="A14" s="6">
        <v>13</v>
      </c>
      <c r="B14" s="5" t="s">
        <v>1397</v>
      </c>
      <c r="C14" s="5" t="s">
        <v>466</v>
      </c>
      <c r="D14" s="5" t="s">
        <v>1398</v>
      </c>
      <c r="E14" s="5">
        <v>12</v>
      </c>
      <c r="F14" s="5">
        <v>100</v>
      </c>
      <c r="G14" s="5">
        <v>25</v>
      </c>
      <c r="H14" s="7">
        <v>46092</v>
      </c>
      <c r="I14" s="5">
        <v>54444</v>
      </c>
      <c r="J14" s="5"/>
      <c r="K14" s="5" t="s">
        <v>1399</v>
      </c>
      <c r="L14" s="5"/>
      <c r="M14" s="7"/>
      <c r="N14" s="5"/>
      <c r="O14" s="7"/>
      <c r="P14" s="5"/>
      <c r="Q14" s="7"/>
      <c r="R14" s="5"/>
      <c r="S14" s="5"/>
      <c r="T14" s="5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</row>
    <row r="15" spans="1:32" ht="15.75" x14ac:dyDescent="0.25">
      <c r="A15" s="6">
        <v>14</v>
      </c>
      <c r="B15" s="5" t="s">
        <v>30</v>
      </c>
      <c r="C15" s="5" t="s">
        <v>21</v>
      </c>
      <c r="D15" s="5" t="s">
        <v>37</v>
      </c>
      <c r="E15" s="5">
        <v>153</v>
      </c>
      <c r="F15" s="5">
        <v>46157761</v>
      </c>
      <c r="G15" s="5">
        <v>951</v>
      </c>
      <c r="H15" s="7">
        <v>45863</v>
      </c>
      <c r="I15" s="5" t="s">
        <v>221</v>
      </c>
      <c r="J15" s="5"/>
      <c r="K15" s="5" t="s">
        <v>35</v>
      </c>
      <c r="L15" s="5">
        <v>221</v>
      </c>
      <c r="M15" s="7">
        <v>45850</v>
      </c>
      <c r="N15" s="5">
        <v>316</v>
      </c>
      <c r="O15" s="7">
        <v>45864</v>
      </c>
      <c r="P15" s="5">
        <v>645</v>
      </c>
      <c r="Q15" s="7">
        <v>45866</v>
      </c>
      <c r="R15" s="5"/>
      <c r="S15" s="5"/>
      <c r="T15" s="5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</row>
    <row r="16" spans="1:32" ht="15.75" x14ac:dyDescent="0.25">
      <c r="A16" s="8">
        <v>15</v>
      </c>
      <c r="B16" s="5" t="s">
        <v>20</v>
      </c>
      <c r="C16" s="5" t="s">
        <v>49</v>
      </c>
      <c r="D16" s="5" t="s">
        <v>47</v>
      </c>
      <c r="E16" s="5">
        <v>258</v>
      </c>
      <c r="F16" s="5">
        <v>211815000</v>
      </c>
      <c r="G16" s="5">
        <v>587</v>
      </c>
      <c r="H16" s="7">
        <v>45870</v>
      </c>
      <c r="I16" s="5">
        <v>48670</v>
      </c>
      <c r="J16" s="5"/>
      <c r="K16" s="5" t="s">
        <v>18</v>
      </c>
      <c r="L16" s="5"/>
      <c r="M16" s="7"/>
      <c r="N16" s="5"/>
      <c r="O16" s="7"/>
      <c r="P16" s="5"/>
      <c r="Q16" s="7"/>
      <c r="R16" s="5"/>
      <c r="S16" s="5"/>
      <c r="T16" s="5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</row>
    <row r="17" spans="1:32" ht="15.75" x14ac:dyDescent="0.25">
      <c r="A17" s="8">
        <v>16</v>
      </c>
      <c r="B17" s="5" t="s">
        <v>20</v>
      </c>
      <c r="C17" s="5" t="s">
        <v>49</v>
      </c>
      <c r="D17" s="5" t="s">
        <v>47</v>
      </c>
      <c r="E17" s="5" t="s">
        <v>50</v>
      </c>
      <c r="F17" s="5">
        <v>23535000</v>
      </c>
      <c r="G17" s="5">
        <v>587</v>
      </c>
      <c r="H17" s="87">
        <v>45870</v>
      </c>
      <c r="I17" s="5">
        <v>48670</v>
      </c>
      <c r="J17" s="8"/>
      <c r="K17" s="5" t="s">
        <v>22</v>
      </c>
      <c r="L17" s="6"/>
      <c r="M17" s="7"/>
      <c r="N17" s="5"/>
      <c r="O17" s="7"/>
      <c r="P17" s="5"/>
      <c r="Q17" s="7"/>
      <c r="R17" s="5"/>
      <c r="S17" s="5"/>
      <c r="T17" s="5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</row>
    <row r="18" spans="1:32" ht="15.75" x14ac:dyDescent="0.25">
      <c r="A18" s="8">
        <v>17</v>
      </c>
      <c r="B18" s="5" t="s">
        <v>28</v>
      </c>
      <c r="C18" s="8" t="s">
        <v>214</v>
      </c>
      <c r="D18" s="5"/>
      <c r="E18" s="5"/>
      <c r="F18" s="5">
        <v>23535000</v>
      </c>
      <c r="G18" s="6"/>
      <c r="H18" s="87"/>
      <c r="I18" s="5">
        <v>48670</v>
      </c>
      <c r="J18" s="8"/>
      <c r="K18" s="5" t="s">
        <v>18</v>
      </c>
      <c r="L18" s="6"/>
      <c r="M18" s="7"/>
      <c r="N18" s="5"/>
      <c r="O18" s="7"/>
      <c r="P18" s="5"/>
      <c r="Q18" s="7"/>
      <c r="R18" s="10"/>
      <c r="S18" s="5"/>
      <c r="T18" s="5" t="s">
        <v>215</v>
      </c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</row>
    <row r="19" spans="1:32" ht="15.75" x14ac:dyDescent="0.25">
      <c r="A19" s="8">
        <v>18</v>
      </c>
      <c r="B19" s="5" t="s">
        <v>40</v>
      </c>
      <c r="C19" s="8" t="s">
        <v>214</v>
      </c>
      <c r="D19" s="5" t="s">
        <v>17</v>
      </c>
      <c r="E19" s="5">
        <v>2354</v>
      </c>
      <c r="F19" s="5">
        <v>23535000</v>
      </c>
      <c r="G19" s="6">
        <v>154</v>
      </c>
      <c r="H19" s="87">
        <v>45878</v>
      </c>
      <c r="I19" s="5">
        <v>48670</v>
      </c>
      <c r="J19" s="8"/>
      <c r="K19" s="5" t="s">
        <v>19</v>
      </c>
      <c r="L19" s="6"/>
      <c r="M19" s="7"/>
      <c r="N19" s="5"/>
      <c r="O19" s="7"/>
      <c r="P19" s="5"/>
      <c r="Q19" s="7"/>
      <c r="R19" s="10"/>
      <c r="S19" s="5"/>
      <c r="T19" s="5" t="s">
        <v>216</v>
      </c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</row>
    <row r="20" spans="1:32" ht="15.75" x14ac:dyDescent="0.25">
      <c r="A20" s="8">
        <v>19</v>
      </c>
      <c r="B20" s="5" t="s">
        <v>40</v>
      </c>
      <c r="C20" s="8" t="s">
        <v>214</v>
      </c>
      <c r="D20" s="5" t="s">
        <v>17</v>
      </c>
      <c r="E20" s="5"/>
      <c r="F20" s="5">
        <v>23535000</v>
      </c>
      <c r="G20" s="8">
        <v>154</v>
      </c>
      <c r="H20" s="87">
        <v>45878</v>
      </c>
      <c r="I20" s="6">
        <v>48670</v>
      </c>
      <c r="J20" s="8"/>
      <c r="K20" s="5" t="s">
        <v>19</v>
      </c>
      <c r="L20" s="6"/>
      <c r="M20" s="7"/>
      <c r="N20" s="5"/>
      <c r="O20" s="7"/>
      <c r="P20" s="5"/>
      <c r="Q20" s="70"/>
      <c r="R20" s="10"/>
      <c r="S20" s="6"/>
      <c r="T20" s="5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</row>
    <row r="21" spans="1:32" ht="15.75" x14ac:dyDescent="0.25">
      <c r="A21" s="8">
        <v>20</v>
      </c>
      <c r="B21" s="5" t="s">
        <v>20</v>
      </c>
      <c r="C21" s="8" t="s">
        <v>21</v>
      </c>
      <c r="D21" s="5" t="s">
        <v>48</v>
      </c>
      <c r="E21" s="5"/>
      <c r="F21" s="5">
        <v>23535000</v>
      </c>
      <c r="G21" s="8">
        <v>123</v>
      </c>
      <c r="H21" s="87">
        <v>45863</v>
      </c>
      <c r="I21" s="6">
        <v>48670</v>
      </c>
      <c r="J21" s="8"/>
      <c r="K21" s="5" t="s">
        <v>22</v>
      </c>
      <c r="L21" s="6">
        <v>166</v>
      </c>
      <c r="M21" s="7">
        <v>45845</v>
      </c>
      <c r="N21" s="5">
        <v>286</v>
      </c>
      <c r="O21" s="7">
        <v>45859</v>
      </c>
      <c r="P21" s="5"/>
      <c r="Q21" s="70"/>
      <c r="R21" s="10"/>
      <c r="S21" s="6"/>
      <c r="T21" s="5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</row>
    <row r="22" spans="1:32" ht="15.75" x14ac:dyDescent="0.25">
      <c r="A22" s="8">
        <v>21</v>
      </c>
      <c r="B22" s="5" t="s">
        <v>20</v>
      </c>
      <c r="C22" s="8" t="s">
        <v>214</v>
      </c>
      <c r="D22" s="5"/>
      <c r="E22" s="5"/>
      <c r="F22" s="5">
        <v>23535000</v>
      </c>
      <c r="G22" s="8"/>
      <c r="H22" s="87"/>
      <c r="I22" s="6">
        <v>48670</v>
      </c>
      <c r="J22" s="8"/>
      <c r="K22" s="5" t="s">
        <v>18</v>
      </c>
      <c r="L22" s="6"/>
      <c r="M22" s="7"/>
      <c r="N22" s="5"/>
      <c r="O22" s="7"/>
      <c r="P22" s="5"/>
      <c r="Q22" s="70"/>
      <c r="R22" s="10"/>
      <c r="S22" s="6"/>
      <c r="T22" s="5" t="s">
        <v>219</v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</row>
    <row r="23" spans="1:32" ht="15.75" x14ac:dyDescent="0.25">
      <c r="A23" s="8">
        <v>22</v>
      </c>
      <c r="B23" s="5" t="s">
        <v>16</v>
      </c>
      <c r="C23" s="8" t="s">
        <v>214</v>
      </c>
      <c r="D23" s="5" t="s">
        <v>17</v>
      </c>
      <c r="E23" s="5">
        <v>111</v>
      </c>
      <c r="F23" s="5">
        <v>23535000</v>
      </c>
      <c r="G23" s="8" t="s">
        <v>220</v>
      </c>
      <c r="H23" s="87">
        <v>45870</v>
      </c>
      <c r="I23" s="8">
        <v>48670</v>
      </c>
      <c r="J23" s="8"/>
      <c r="K23" s="6" t="s">
        <v>19</v>
      </c>
      <c r="L23" s="6"/>
      <c r="M23" s="7"/>
      <c r="N23" s="5"/>
      <c r="O23" s="7"/>
      <c r="P23" s="5"/>
      <c r="Q23" s="70"/>
      <c r="R23" s="10"/>
      <c r="S23" s="8"/>
      <c r="T23" s="5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</row>
    <row r="24" spans="1:32" ht="15.75" x14ac:dyDescent="0.25">
      <c r="A24" s="8">
        <v>23</v>
      </c>
      <c r="B24" s="5" t="s">
        <v>20</v>
      </c>
      <c r="C24" s="5" t="s">
        <v>21</v>
      </c>
      <c r="D24" s="5" t="s">
        <v>48</v>
      </c>
      <c r="E24" s="5"/>
      <c r="F24" s="5">
        <v>23535000</v>
      </c>
      <c r="G24" s="8"/>
      <c r="H24" s="8"/>
      <c r="I24" s="8">
        <v>48670</v>
      </c>
      <c r="J24" s="8"/>
      <c r="K24" s="5" t="s">
        <v>22</v>
      </c>
      <c r="L24" s="6"/>
      <c r="M24" s="5"/>
      <c r="N24" s="5"/>
      <c r="O24" s="7"/>
      <c r="P24" s="5"/>
      <c r="Q24" s="10"/>
      <c r="R24" s="10"/>
      <c r="S24" s="8"/>
      <c r="T24" s="5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</row>
    <row r="25" spans="1:32" ht="15.75" x14ac:dyDescent="0.25">
      <c r="A25" s="8">
        <v>24</v>
      </c>
      <c r="B25" s="5" t="s">
        <v>27</v>
      </c>
      <c r="C25" s="5" t="s">
        <v>21</v>
      </c>
      <c r="D25" s="5" t="s">
        <v>47</v>
      </c>
      <c r="E25" s="5"/>
      <c r="F25" s="5">
        <v>23535000</v>
      </c>
      <c r="G25" s="8"/>
      <c r="H25" s="8"/>
      <c r="I25" s="8">
        <v>48670</v>
      </c>
      <c r="J25" s="8"/>
      <c r="K25" s="5" t="s">
        <v>31</v>
      </c>
      <c r="L25" s="6"/>
      <c r="M25" s="5"/>
      <c r="N25" s="5"/>
      <c r="O25" s="7"/>
      <c r="P25" s="5"/>
      <c r="Q25" s="10"/>
      <c r="R25" s="10"/>
      <c r="S25" s="8"/>
      <c r="T25" s="5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</row>
    <row r="26" spans="1:32" ht="15.75" x14ac:dyDescent="0.25">
      <c r="A26" s="8">
        <v>25</v>
      </c>
      <c r="B26" s="5" t="s">
        <v>28</v>
      </c>
      <c r="C26" s="5" t="s">
        <v>42</v>
      </c>
      <c r="D26" s="5" t="s">
        <v>37</v>
      </c>
      <c r="E26" s="76">
        <v>555</v>
      </c>
      <c r="F26" s="91">
        <v>24165420.5</v>
      </c>
      <c r="G26" s="76">
        <v>124</v>
      </c>
      <c r="H26" s="88">
        <v>46032</v>
      </c>
      <c r="I26" s="76" t="s">
        <v>221</v>
      </c>
      <c r="J26" s="76"/>
      <c r="K26" s="5" t="s">
        <v>32</v>
      </c>
      <c r="L26" s="3"/>
      <c r="M26" s="75"/>
      <c r="N26" s="75"/>
      <c r="O26" s="85"/>
      <c r="P26" s="75"/>
      <c r="Q26" s="77"/>
      <c r="R26" s="77"/>
      <c r="S26" s="76"/>
      <c r="T26" s="75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</row>
    <row r="27" spans="1:32" ht="15.75" x14ac:dyDescent="0.25">
      <c r="A27" s="8">
        <v>26</v>
      </c>
      <c r="B27" s="5" t="s">
        <v>15</v>
      </c>
      <c r="C27" s="5" t="s">
        <v>21</v>
      </c>
      <c r="D27" s="5" t="s">
        <v>48</v>
      </c>
      <c r="E27" s="76"/>
      <c r="F27" s="91">
        <v>112718.56</v>
      </c>
      <c r="G27" s="76"/>
      <c r="H27" s="76"/>
      <c r="I27" s="76" t="s">
        <v>222</v>
      </c>
      <c r="J27" s="76"/>
      <c r="K27" s="5" t="s">
        <v>33</v>
      </c>
      <c r="L27" s="3"/>
      <c r="M27" s="75"/>
      <c r="N27" s="75"/>
      <c r="O27" s="85"/>
      <c r="P27" s="75"/>
      <c r="Q27" s="77"/>
      <c r="R27" s="77"/>
      <c r="S27" s="76"/>
      <c r="T27" s="75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</row>
    <row r="28" spans="1:32" ht="15.75" x14ac:dyDescent="0.25">
      <c r="A28" s="8">
        <v>27</v>
      </c>
      <c r="B28" s="5" t="s">
        <v>29</v>
      </c>
      <c r="C28" s="5" t="s">
        <v>42</v>
      </c>
      <c r="D28" s="5" t="s">
        <v>47</v>
      </c>
      <c r="E28" s="76"/>
      <c r="F28" s="91">
        <v>47070555</v>
      </c>
      <c r="G28" s="76"/>
      <c r="H28" s="76"/>
      <c r="I28" s="76">
        <v>16544</v>
      </c>
      <c r="J28" s="76"/>
      <c r="K28" s="5" t="s">
        <v>34</v>
      </c>
      <c r="L28" s="3"/>
      <c r="M28" s="75"/>
      <c r="N28" s="75"/>
      <c r="O28" s="85"/>
      <c r="P28" s="75"/>
      <c r="Q28" s="77"/>
      <c r="R28" s="77"/>
      <c r="S28" s="76"/>
      <c r="T28" s="75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</row>
    <row r="29" spans="1:32" ht="15.75" x14ac:dyDescent="0.25">
      <c r="A29" s="8">
        <v>28</v>
      </c>
      <c r="B29" s="5" t="s">
        <v>30</v>
      </c>
      <c r="C29" s="5" t="s">
        <v>21</v>
      </c>
      <c r="D29" s="5" t="s">
        <v>37</v>
      </c>
      <c r="E29" s="76"/>
      <c r="F29" s="91">
        <v>47070000</v>
      </c>
      <c r="G29" s="76"/>
      <c r="H29" s="76"/>
      <c r="I29" s="76">
        <v>65384</v>
      </c>
      <c r="J29" s="76"/>
      <c r="K29" s="5" t="s">
        <v>35</v>
      </c>
      <c r="L29" s="3"/>
      <c r="M29" s="75"/>
      <c r="N29" s="75"/>
      <c r="O29" s="85"/>
      <c r="P29" s="75"/>
      <c r="Q29" s="77"/>
      <c r="R29" s="77"/>
      <c r="S29" s="76"/>
      <c r="T29" s="75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</row>
    <row r="30" spans="1:32" ht="15.75" x14ac:dyDescent="0.25">
      <c r="A30" s="8">
        <v>29</v>
      </c>
      <c r="B30" s="5" t="s">
        <v>20</v>
      </c>
      <c r="C30" s="5" t="s">
        <v>21</v>
      </c>
      <c r="D30" s="5" t="s">
        <v>48</v>
      </c>
      <c r="E30" s="8"/>
      <c r="F30" s="92">
        <v>70605000</v>
      </c>
      <c r="G30" s="8"/>
      <c r="H30" s="8"/>
      <c r="I30" s="8">
        <v>77192</v>
      </c>
      <c r="J30" s="8"/>
      <c r="K30" s="5" t="s">
        <v>22</v>
      </c>
      <c r="L30" s="6"/>
      <c r="M30" s="5"/>
      <c r="N30" s="5"/>
      <c r="O30" s="7"/>
      <c r="P30" s="5"/>
      <c r="Q30" s="10"/>
      <c r="R30" s="10"/>
      <c r="S30" s="8"/>
      <c r="T30" s="5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</row>
    <row r="31" spans="1:32" ht="15.75" x14ac:dyDescent="0.25">
      <c r="A31" s="8">
        <v>30</v>
      </c>
      <c r="B31" s="5" t="s">
        <v>27</v>
      </c>
      <c r="C31" s="5" t="s">
        <v>42</v>
      </c>
      <c r="D31" s="5" t="s">
        <v>47</v>
      </c>
      <c r="E31" s="8"/>
      <c r="F31" s="92">
        <v>1924076.8</v>
      </c>
      <c r="G31" s="8"/>
      <c r="H31" s="8"/>
      <c r="I31" s="8" t="s">
        <v>223</v>
      </c>
      <c r="J31" s="8"/>
      <c r="K31" s="5" t="s">
        <v>31</v>
      </c>
      <c r="L31" s="6"/>
      <c r="M31" s="5"/>
      <c r="N31" s="5"/>
      <c r="O31" s="7"/>
      <c r="P31" s="5"/>
      <c r="Q31" s="10"/>
      <c r="R31" s="10"/>
      <c r="S31" s="8"/>
      <c r="T31" s="5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</row>
    <row r="32" spans="1:32" ht="15.75" x14ac:dyDescent="0.25">
      <c r="A32" s="8">
        <v>31</v>
      </c>
      <c r="B32" s="5" t="s">
        <v>28</v>
      </c>
      <c r="C32" s="5" t="s">
        <v>21</v>
      </c>
      <c r="D32" s="5" t="s">
        <v>37</v>
      </c>
      <c r="E32" s="76"/>
      <c r="F32" s="91">
        <v>60586125.600000001</v>
      </c>
      <c r="G32" s="76"/>
      <c r="H32" s="76"/>
      <c r="I32" s="76">
        <v>65384</v>
      </c>
      <c r="J32" s="76"/>
      <c r="K32" s="5" t="s">
        <v>32</v>
      </c>
      <c r="L32" s="3"/>
      <c r="M32" s="75"/>
      <c r="N32" s="75"/>
      <c r="O32" s="85"/>
      <c r="P32" s="75"/>
      <c r="Q32" s="77"/>
      <c r="R32" s="77"/>
      <c r="S32" s="76"/>
      <c r="T32" s="75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</row>
    <row r="33" spans="1:32" ht="15.75" x14ac:dyDescent="0.25">
      <c r="A33" s="8">
        <v>32</v>
      </c>
      <c r="B33" s="5" t="s">
        <v>15</v>
      </c>
      <c r="C33" s="5" t="s">
        <v>21</v>
      </c>
      <c r="D33" s="5" t="s">
        <v>48</v>
      </c>
      <c r="E33" s="8"/>
      <c r="F33" s="92">
        <v>1429164.11</v>
      </c>
      <c r="G33" s="8"/>
      <c r="H33" s="8"/>
      <c r="I33" s="8">
        <v>65384</v>
      </c>
      <c r="J33" s="8"/>
      <c r="K33" s="5" t="s">
        <v>33</v>
      </c>
      <c r="L33" s="6"/>
      <c r="M33" s="5"/>
      <c r="N33" s="5"/>
      <c r="O33" s="7"/>
      <c r="P33" s="5"/>
      <c r="Q33" s="10"/>
      <c r="R33" s="10"/>
      <c r="S33" s="8"/>
      <c r="T33" s="5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</row>
    <row r="34" spans="1:32" ht="15.75" x14ac:dyDescent="0.25">
      <c r="A34" s="8">
        <v>33</v>
      </c>
      <c r="B34" s="5" t="s">
        <v>29</v>
      </c>
      <c r="C34" s="5" t="s">
        <v>42</v>
      </c>
      <c r="D34" s="5" t="s">
        <v>47</v>
      </c>
      <c r="E34" s="8"/>
      <c r="F34" s="92">
        <v>1135512</v>
      </c>
      <c r="G34" s="8"/>
      <c r="H34" s="8"/>
      <c r="I34" s="8">
        <v>53185</v>
      </c>
      <c r="J34" s="8"/>
      <c r="K34" s="5" t="s">
        <v>34</v>
      </c>
      <c r="L34" s="6"/>
      <c r="M34" s="5"/>
      <c r="N34" s="5"/>
      <c r="O34" s="7"/>
      <c r="P34" s="5"/>
      <c r="Q34" s="10"/>
      <c r="R34" s="10"/>
      <c r="S34" s="8"/>
      <c r="T34" s="5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</row>
    <row r="35" spans="1:32" ht="15.75" x14ac:dyDescent="0.25">
      <c r="A35" s="8">
        <v>34</v>
      </c>
      <c r="B35" s="5" t="s">
        <v>30</v>
      </c>
      <c r="C35" s="5" t="s">
        <v>21</v>
      </c>
      <c r="D35" s="5" t="s">
        <v>37</v>
      </c>
      <c r="E35" s="76"/>
      <c r="F35" s="91">
        <v>112741389.75</v>
      </c>
      <c r="G35" s="76"/>
      <c r="H35" s="76"/>
      <c r="I35" s="76">
        <v>48670</v>
      </c>
      <c r="J35" s="76"/>
      <c r="K35" s="5" t="s">
        <v>35</v>
      </c>
      <c r="L35" s="3"/>
      <c r="M35" s="75"/>
      <c r="N35" s="75"/>
      <c r="O35" s="85"/>
      <c r="P35" s="75"/>
      <c r="Q35" s="77"/>
      <c r="R35" s="77"/>
      <c r="S35" s="76"/>
      <c r="T35" s="75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</row>
    <row r="36" spans="1:32" ht="15.75" x14ac:dyDescent="0.25">
      <c r="A36" s="8">
        <v>35</v>
      </c>
      <c r="B36" s="5" t="s">
        <v>38</v>
      </c>
      <c r="C36" s="5" t="s">
        <v>42</v>
      </c>
      <c r="D36" s="5" t="s">
        <v>47</v>
      </c>
      <c r="E36" s="8"/>
      <c r="F36" s="92">
        <v>552566.28</v>
      </c>
      <c r="G36" s="8"/>
      <c r="H36" s="8"/>
      <c r="I36" s="8" t="s">
        <v>224</v>
      </c>
      <c r="J36" s="8"/>
      <c r="K36" s="5" t="s">
        <v>18</v>
      </c>
      <c r="L36" s="6"/>
      <c r="M36" s="5"/>
      <c r="N36" s="5"/>
      <c r="O36" s="7"/>
      <c r="P36" s="5"/>
      <c r="Q36" s="10"/>
      <c r="R36" s="10"/>
      <c r="S36" s="8"/>
      <c r="T36" s="5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</row>
    <row r="37" spans="1:32" ht="15.75" x14ac:dyDescent="0.25">
      <c r="A37" s="8">
        <v>36</v>
      </c>
      <c r="B37" s="5" t="s">
        <v>30</v>
      </c>
      <c r="C37" s="5" t="s">
        <v>21</v>
      </c>
      <c r="D37" s="5" t="s">
        <v>37</v>
      </c>
      <c r="E37" s="76"/>
      <c r="F37" s="91">
        <v>22548277.949999999</v>
      </c>
      <c r="G37" s="76"/>
      <c r="H37" s="76"/>
      <c r="I37" s="76">
        <v>16544</v>
      </c>
      <c r="J37" s="76"/>
      <c r="K37" s="5" t="s">
        <v>35</v>
      </c>
      <c r="L37" s="3"/>
      <c r="M37" s="75"/>
      <c r="N37" s="75"/>
      <c r="O37" s="85"/>
      <c r="P37" s="75"/>
      <c r="Q37" s="77"/>
      <c r="R37" s="77"/>
      <c r="S37" s="76"/>
      <c r="T37" s="75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</row>
    <row r="38" spans="1:32" ht="15.75" x14ac:dyDescent="0.25">
      <c r="A38" s="8">
        <v>37</v>
      </c>
      <c r="B38" s="5" t="s">
        <v>20</v>
      </c>
      <c r="C38" s="5" t="s">
        <v>49</v>
      </c>
      <c r="D38" s="5" t="s">
        <v>47</v>
      </c>
      <c r="E38" s="8"/>
      <c r="F38" s="92">
        <v>13866884.32</v>
      </c>
      <c r="G38" s="8"/>
      <c r="H38" s="8"/>
      <c r="I38" s="8">
        <v>43108</v>
      </c>
      <c r="J38" s="8"/>
      <c r="K38" s="5" t="s">
        <v>18</v>
      </c>
      <c r="L38" s="6"/>
      <c r="M38" s="5"/>
      <c r="N38" s="5"/>
      <c r="O38" s="7"/>
      <c r="P38" s="5"/>
      <c r="Q38" s="10"/>
      <c r="R38" s="10"/>
      <c r="S38" s="8"/>
      <c r="T38" s="5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</row>
    <row r="39" spans="1:32" ht="15.75" x14ac:dyDescent="0.25">
      <c r="A39" s="8">
        <v>38</v>
      </c>
      <c r="B39" s="5" t="s">
        <v>20</v>
      </c>
      <c r="C39" s="5" t="s">
        <v>49</v>
      </c>
      <c r="D39" s="5" t="s">
        <v>47</v>
      </c>
      <c r="E39" s="76"/>
      <c r="F39" s="91">
        <v>112569477.95</v>
      </c>
      <c r="G39" s="76"/>
      <c r="H39" s="76"/>
      <c r="I39" s="76">
        <v>48670</v>
      </c>
      <c r="J39" s="76"/>
      <c r="K39" s="5" t="s">
        <v>22</v>
      </c>
      <c r="L39" s="3"/>
      <c r="M39" s="75"/>
      <c r="N39" s="75"/>
      <c r="O39" s="85"/>
      <c r="P39" s="75"/>
      <c r="Q39" s="77"/>
      <c r="R39" s="77"/>
      <c r="S39" s="76"/>
      <c r="T39" s="75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</row>
    <row r="40" spans="1:32" ht="15.75" x14ac:dyDescent="0.25">
      <c r="A40" s="8">
        <v>39</v>
      </c>
      <c r="B40" s="5" t="s">
        <v>28</v>
      </c>
      <c r="C40" s="8" t="s">
        <v>214</v>
      </c>
      <c r="D40" s="5"/>
      <c r="E40" s="76"/>
      <c r="F40" s="91">
        <v>1174401.92</v>
      </c>
      <c r="G40" s="76"/>
      <c r="H40" s="76"/>
      <c r="I40" s="76" t="s">
        <v>224</v>
      </c>
      <c r="J40" s="76"/>
      <c r="K40" s="5" t="s">
        <v>18</v>
      </c>
      <c r="L40" s="3"/>
      <c r="M40" s="75"/>
      <c r="N40" s="75"/>
      <c r="O40" s="85"/>
      <c r="P40" s="75"/>
      <c r="Q40" s="77"/>
      <c r="R40" s="77"/>
      <c r="S40" s="76"/>
      <c r="T40" s="75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</row>
    <row r="41" spans="1:32" ht="15.75" x14ac:dyDescent="0.25">
      <c r="A41" s="8">
        <v>40</v>
      </c>
      <c r="B41" s="5" t="s">
        <v>1400</v>
      </c>
      <c r="C41" s="8" t="s">
        <v>466</v>
      </c>
      <c r="D41" s="5" t="s">
        <v>1401</v>
      </c>
      <c r="E41" s="76">
        <v>222</v>
      </c>
      <c r="F41" s="91">
        <v>222</v>
      </c>
      <c r="G41" s="76">
        <v>7</v>
      </c>
      <c r="H41" s="88">
        <v>45972</v>
      </c>
      <c r="I41" s="76">
        <v>33333</v>
      </c>
      <c r="J41" s="76"/>
      <c r="K41" s="5" t="s">
        <v>1399</v>
      </c>
      <c r="L41" s="3"/>
      <c r="M41" s="75"/>
      <c r="N41" s="75"/>
      <c r="O41" s="85"/>
      <c r="P41" s="75"/>
      <c r="Q41" s="77"/>
      <c r="R41" s="77"/>
      <c r="S41" s="76"/>
      <c r="T41" s="75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</row>
    <row r="42" spans="1:32" ht="15.75" x14ac:dyDescent="0.25">
      <c r="A42" s="8">
        <v>41</v>
      </c>
      <c r="B42" s="10" t="s">
        <v>1402</v>
      </c>
      <c r="C42" s="8" t="s">
        <v>467</v>
      </c>
      <c r="D42" s="6" t="s">
        <v>1401</v>
      </c>
      <c r="E42" s="8">
        <v>2222</v>
      </c>
      <c r="F42" s="92">
        <v>5555</v>
      </c>
      <c r="G42" s="8">
        <v>7</v>
      </c>
      <c r="H42" s="87">
        <v>45972</v>
      </c>
      <c r="I42" s="8">
        <v>33333</v>
      </c>
      <c r="J42" s="8"/>
      <c r="K42" s="6" t="s">
        <v>1403</v>
      </c>
      <c r="L42" s="8"/>
      <c r="M42" s="5"/>
      <c r="N42" s="8"/>
      <c r="O42" s="89"/>
      <c r="P42" s="6"/>
      <c r="Q42" s="8"/>
      <c r="R42" s="10"/>
      <c r="S42" s="8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</row>
    <row r="43" spans="1:32" ht="15.75" x14ac:dyDescent="0.25">
      <c r="A43" s="8">
        <v>42</v>
      </c>
      <c r="B43" s="10" t="s">
        <v>1404</v>
      </c>
      <c r="C43" s="8" t="s">
        <v>466</v>
      </c>
      <c r="D43" s="6" t="s">
        <v>1401</v>
      </c>
      <c r="E43" s="8">
        <v>22</v>
      </c>
      <c r="F43" s="92">
        <v>223365</v>
      </c>
      <c r="G43" s="8">
        <v>7</v>
      </c>
      <c r="H43" s="87">
        <v>45972</v>
      </c>
      <c r="I43" s="8"/>
      <c r="J43" s="8"/>
      <c r="K43" s="6" t="s">
        <v>1399</v>
      </c>
      <c r="L43" s="8"/>
      <c r="M43" s="5"/>
      <c r="N43" s="8"/>
      <c r="O43" s="89"/>
      <c r="P43" s="6"/>
      <c r="Q43" s="8"/>
      <c r="R43" s="10"/>
      <c r="S43" s="8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</row>
    <row r="44" spans="1:32" ht="15.75" x14ac:dyDescent="0.25">
      <c r="A44" s="8">
        <v>43</v>
      </c>
      <c r="B44" s="10" t="s">
        <v>16</v>
      </c>
      <c r="C44" s="8" t="s">
        <v>466</v>
      </c>
      <c r="D44" s="6" t="s">
        <v>47</v>
      </c>
      <c r="E44" s="8">
        <v>125</v>
      </c>
      <c r="F44" s="92">
        <v>55587</v>
      </c>
      <c r="G44" s="8">
        <v>12121</v>
      </c>
      <c r="H44" s="87">
        <v>45972</v>
      </c>
      <c r="I44" s="8">
        <v>65384</v>
      </c>
      <c r="J44" s="8"/>
      <c r="K44" s="6" t="s">
        <v>1408</v>
      </c>
      <c r="L44" s="8"/>
      <c r="M44" s="5"/>
      <c r="N44" s="8"/>
      <c r="O44" s="89"/>
      <c r="P44" s="6"/>
      <c r="Q44" s="8"/>
      <c r="R44" s="10"/>
      <c r="S44" s="8"/>
      <c r="T44" s="6"/>
      <c r="U44" s="3" t="s">
        <v>1488</v>
      </c>
      <c r="V44" s="3"/>
      <c r="W44" s="3"/>
      <c r="X44" s="3"/>
      <c r="Y44" s="3">
        <v>65384</v>
      </c>
      <c r="Z44" s="3" t="b">
        <v>0</v>
      </c>
      <c r="AA44" s="3">
        <v>0</v>
      </c>
      <c r="AB44" s="3">
        <v>0</v>
      </c>
      <c r="AC44" s="3" t="s">
        <v>1489</v>
      </c>
      <c r="AD44" s="3"/>
      <c r="AE44" s="3"/>
      <c r="AF44" s="3" t="s">
        <v>1489</v>
      </c>
    </row>
  </sheetData>
  <phoneticPr fontId="20" type="noConversion"/>
  <pageMargins left="0.7" right="0.7" top="0.75" bottom="0.75" header="0.3" footer="0.3"/>
  <pageSetup paperSize="9" scale="33" fitToHeight="0" orientation="landscape" horizontalDpi="300" verticalDpi="0" copies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89A3A-7AAF-449F-B530-9B4A3150CB90}">
  <sheetPr codeName="Лист2"/>
  <dimension ref="A1:I15"/>
  <sheetViews>
    <sheetView tabSelected="1" workbookViewId="0">
      <selection activeCell="E1" sqref="E1"/>
    </sheetView>
  </sheetViews>
  <sheetFormatPr defaultRowHeight="15" x14ac:dyDescent="0.25"/>
  <cols>
    <col min="1" max="1" width="39.140625" bestFit="1" customWidth="1"/>
    <col min="3" max="3" width="44.5703125" customWidth="1"/>
    <col min="5" max="5" width="17.28515625" customWidth="1"/>
    <col min="8" max="8" width="18.140625" customWidth="1"/>
    <col min="9" max="9" width="17.5703125" customWidth="1"/>
  </cols>
  <sheetData>
    <row r="1" spans="1:9" x14ac:dyDescent="0.25">
      <c r="A1" s="90" t="s">
        <v>1405</v>
      </c>
      <c r="C1" s="90" t="s">
        <v>1406</v>
      </c>
      <c r="E1" s="90" t="s">
        <v>1407</v>
      </c>
      <c r="H1" t="s">
        <v>1382</v>
      </c>
      <c r="I1" t="s">
        <v>1383</v>
      </c>
    </row>
    <row r="2" spans="1:9" x14ac:dyDescent="0.25">
      <c r="A2" t="s">
        <v>15</v>
      </c>
      <c r="C2" t="s">
        <v>17</v>
      </c>
      <c r="E2" t="s">
        <v>18</v>
      </c>
      <c r="H2" t="s">
        <v>1384</v>
      </c>
      <c r="I2" t="s">
        <v>1385</v>
      </c>
    </row>
    <row r="3" spans="1:9" x14ac:dyDescent="0.25">
      <c r="A3" t="s">
        <v>16</v>
      </c>
      <c r="C3" t="s">
        <v>47</v>
      </c>
      <c r="E3" t="s">
        <v>19</v>
      </c>
      <c r="H3" t="s">
        <v>1386</v>
      </c>
      <c r="I3" t="s">
        <v>1387</v>
      </c>
    </row>
    <row r="4" spans="1:9" x14ac:dyDescent="0.25">
      <c r="A4" t="s">
        <v>28</v>
      </c>
      <c r="C4" t="s">
        <v>37</v>
      </c>
      <c r="H4" t="s">
        <v>1388</v>
      </c>
      <c r="I4" t="s">
        <v>1389</v>
      </c>
    </row>
    <row r="5" spans="1:9" x14ac:dyDescent="0.25">
      <c r="A5" t="s">
        <v>38</v>
      </c>
      <c r="H5" t="s">
        <v>1390</v>
      </c>
      <c r="I5" t="s">
        <v>1391</v>
      </c>
    </row>
    <row r="6" spans="1:9" x14ac:dyDescent="0.25">
      <c r="A6" t="s">
        <v>27</v>
      </c>
      <c r="H6" t="s">
        <v>1392</v>
      </c>
      <c r="I6" t="s">
        <v>1393</v>
      </c>
    </row>
    <row r="7" spans="1:9" x14ac:dyDescent="0.25">
      <c r="A7" t="s">
        <v>20</v>
      </c>
    </row>
    <row r="8" spans="1:9" x14ac:dyDescent="0.25">
      <c r="A8" t="s">
        <v>39</v>
      </c>
    </row>
    <row r="9" spans="1:9" x14ac:dyDescent="0.25">
      <c r="A9" t="s">
        <v>40</v>
      </c>
    </row>
    <row r="10" spans="1:9" x14ac:dyDescent="0.25">
      <c r="A10" t="s">
        <v>41</v>
      </c>
    </row>
    <row r="11" spans="1:9" x14ac:dyDescent="0.25">
      <c r="A11" t="s">
        <v>30</v>
      </c>
    </row>
    <row r="15" spans="1:9" x14ac:dyDescent="0.25">
      <c r="A15" t="s">
        <v>1472</v>
      </c>
      <c r="B15" t="s">
        <v>1473</v>
      </c>
    </row>
  </sheetData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7AB09-D168-4CFC-A9B4-53C024BFE148}">
  <sheetPr codeName="Лист3"/>
  <dimension ref="A1:B4"/>
  <sheetViews>
    <sheetView workbookViewId="0">
      <selection activeCell="D7" sqref="D7"/>
    </sheetView>
  </sheetViews>
  <sheetFormatPr defaultRowHeight="15" x14ac:dyDescent="0.25"/>
  <cols>
    <col min="1" max="1" width="20.140625" customWidth="1"/>
    <col min="2" max="2" width="17.5703125" customWidth="1"/>
  </cols>
  <sheetData>
    <row r="1" spans="1:2" x14ac:dyDescent="0.25">
      <c r="A1" t="s">
        <v>23</v>
      </c>
      <c r="B1">
        <v>43</v>
      </c>
    </row>
    <row r="2" spans="1:2" x14ac:dyDescent="0.25">
      <c r="A2" t="s">
        <v>24</v>
      </c>
      <c r="B2">
        <v>95.650001525878906</v>
      </c>
    </row>
    <row r="3" spans="1:2" x14ac:dyDescent="0.25">
      <c r="A3" t="s">
        <v>25</v>
      </c>
      <c r="B3">
        <v>333.75</v>
      </c>
    </row>
    <row r="4" spans="1:2" x14ac:dyDescent="0.25">
      <c r="A4" t="s">
        <v>26</v>
      </c>
      <c r="B4" s="4">
        <v>46122.064432870371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CED0-D3D9-43BB-AE6F-2FBE19F88A0C}">
  <sheetPr codeName="Лист14"/>
  <dimension ref="A1:B617"/>
  <sheetViews>
    <sheetView topLeftCell="A567" workbookViewId="0">
      <selection activeCell="B601" sqref="A601:B601"/>
    </sheetView>
  </sheetViews>
  <sheetFormatPr defaultRowHeight="15" x14ac:dyDescent="0.25"/>
  <cols>
    <col min="1" max="1" width="68.140625" bestFit="1" customWidth="1"/>
    <col min="2" max="2" width="77.7109375" style="83" bestFit="1" customWidth="1"/>
  </cols>
  <sheetData>
    <row r="1" spans="1:2" x14ac:dyDescent="0.25">
      <c r="A1" t="s">
        <v>243</v>
      </c>
      <c r="B1" s="83" t="s">
        <v>244</v>
      </c>
    </row>
    <row r="2" spans="1:2" x14ac:dyDescent="0.25">
      <c r="A2" s="83" t="s">
        <v>245</v>
      </c>
      <c r="B2" s="83" t="s">
        <v>246</v>
      </c>
    </row>
    <row r="3" spans="1:2" x14ac:dyDescent="0.25">
      <c r="A3" s="83" t="s">
        <v>247</v>
      </c>
      <c r="B3" s="83" t="s">
        <v>248</v>
      </c>
    </row>
    <row r="4" spans="1:2" x14ac:dyDescent="0.25">
      <c r="A4" s="83" t="s">
        <v>249</v>
      </c>
      <c r="B4" s="83" t="s">
        <v>250</v>
      </c>
    </row>
    <row r="5" spans="1:2" x14ac:dyDescent="0.25">
      <c r="A5" s="83" t="s">
        <v>251</v>
      </c>
      <c r="B5" s="83" t="s">
        <v>252</v>
      </c>
    </row>
    <row r="6" spans="1:2" x14ac:dyDescent="0.25">
      <c r="A6" s="83" t="s">
        <v>253</v>
      </c>
      <c r="B6" s="83" t="s">
        <v>254</v>
      </c>
    </row>
    <row r="7" spans="1:2" x14ac:dyDescent="0.25">
      <c r="A7" s="83" t="s">
        <v>255</v>
      </c>
      <c r="B7" s="83" t="s">
        <v>256</v>
      </c>
    </row>
    <row r="8" spans="1:2" x14ac:dyDescent="0.25">
      <c r="A8" s="83" t="s">
        <v>257</v>
      </c>
      <c r="B8" s="83" t="s">
        <v>258</v>
      </c>
    </row>
    <row r="9" spans="1:2" x14ac:dyDescent="0.25">
      <c r="A9" s="83" t="s">
        <v>259</v>
      </c>
      <c r="B9" s="83" t="s">
        <v>260</v>
      </c>
    </row>
    <row r="10" spans="1:2" x14ac:dyDescent="0.25">
      <c r="A10" s="83" t="s">
        <v>261</v>
      </c>
      <c r="B10" s="83" t="s">
        <v>262</v>
      </c>
    </row>
    <row r="11" spans="1:2" x14ac:dyDescent="0.25">
      <c r="A11" s="83" t="s">
        <v>263</v>
      </c>
      <c r="B11" s="83" t="s">
        <v>264</v>
      </c>
    </row>
    <row r="12" spans="1:2" x14ac:dyDescent="0.25">
      <c r="A12" s="83" t="s">
        <v>265</v>
      </c>
      <c r="B12" s="83" t="s">
        <v>266</v>
      </c>
    </row>
    <row r="13" spans="1:2" x14ac:dyDescent="0.25">
      <c r="A13" s="83" t="s">
        <v>267</v>
      </c>
      <c r="B13" s="83" t="s">
        <v>268</v>
      </c>
    </row>
    <row r="14" spans="1:2" x14ac:dyDescent="0.25">
      <c r="A14" s="83" t="s">
        <v>269</v>
      </c>
      <c r="B14" s="83" t="s">
        <v>270</v>
      </c>
    </row>
    <row r="15" spans="1:2" x14ac:dyDescent="0.25">
      <c r="A15" s="83" t="s">
        <v>271</v>
      </c>
      <c r="B15" s="83" t="s">
        <v>272</v>
      </c>
    </row>
    <row r="16" spans="1:2" x14ac:dyDescent="0.25">
      <c r="A16" s="83" t="s">
        <v>273</v>
      </c>
      <c r="B16" s="83" t="s">
        <v>274</v>
      </c>
    </row>
    <row r="17" spans="1:2" x14ac:dyDescent="0.25">
      <c r="A17" s="83" t="s">
        <v>275</v>
      </c>
      <c r="B17" s="83" t="s">
        <v>276</v>
      </c>
    </row>
    <row r="18" spans="1:2" x14ac:dyDescent="0.25">
      <c r="A18" s="83" t="s">
        <v>277</v>
      </c>
      <c r="B18" s="83" t="s">
        <v>278</v>
      </c>
    </row>
    <row r="19" spans="1:2" x14ac:dyDescent="0.25">
      <c r="A19" s="83" t="s">
        <v>279</v>
      </c>
      <c r="B19" s="83" t="s">
        <v>280</v>
      </c>
    </row>
    <row r="20" spans="1:2" x14ac:dyDescent="0.25">
      <c r="A20" s="83" t="s">
        <v>281</v>
      </c>
      <c r="B20" s="83" t="s">
        <v>282</v>
      </c>
    </row>
    <row r="21" spans="1:2" x14ac:dyDescent="0.25">
      <c r="A21" s="83" t="s">
        <v>283</v>
      </c>
      <c r="B21" s="83" t="s">
        <v>284</v>
      </c>
    </row>
    <row r="22" spans="1:2" x14ac:dyDescent="0.25">
      <c r="A22" s="83" t="s">
        <v>285</v>
      </c>
      <c r="B22" s="83" t="s">
        <v>286</v>
      </c>
    </row>
    <row r="23" spans="1:2" x14ac:dyDescent="0.25">
      <c r="A23" s="83" t="s">
        <v>287</v>
      </c>
      <c r="B23" s="83" t="s">
        <v>288</v>
      </c>
    </row>
    <row r="24" spans="1:2" x14ac:dyDescent="0.25">
      <c r="A24" s="83" t="s">
        <v>289</v>
      </c>
      <c r="B24" s="83" t="s">
        <v>290</v>
      </c>
    </row>
    <row r="25" spans="1:2" x14ac:dyDescent="0.25">
      <c r="A25" s="83" t="s">
        <v>291</v>
      </c>
      <c r="B25" s="83" t="s">
        <v>292</v>
      </c>
    </row>
    <row r="26" spans="1:2" x14ac:dyDescent="0.25">
      <c r="A26" s="83" t="s">
        <v>293</v>
      </c>
      <c r="B26" s="83" t="s">
        <v>294</v>
      </c>
    </row>
    <row r="27" spans="1:2" x14ac:dyDescent="0.25">
      <c r="A27" s="83" t="s">
        <v>295</v>
      </c>
      <c r="B27" s="83" t="s">
        <v>296</v>
      </c>
    </row>
    <row r="28" spans="1:2" x14ac:dyDescent="0.25">
      <c r="A28" s="83" t="s">
        <v>297</v>
      </c>
      <c r="B28" s="83" t="s">
        <v>298</v>
      </c>
    </row>
    <row r="29" spans="1:2" x14ac:dyDescent="0.25">
      <c r="A29" s="83" t="s">
        <v>299</v>
      </c>
      <c r="B29" s="83" t="s">
        <v>300</v>
      </c>
    </row>
    <row r="30" spans="1:2" x14ac:dyDescent="0.25">
      <c r="A30" s="83" t="s">
        <v>301</v>
      </c>
      <c r="B30" s="83" t="s">
        <v>302</v>
      </c>
    </row>
    <row r="31" spans="1:2" x14ac:dyDescent="0.25">
      <c r="A31" s="83" t="s">
        <v>303</v>
      </c>
      <c r="B31" s="83" t="s">
        <v>304</v>
      </c>
    </row>
    <row r="32" spans="1:2" x14ac:dyDescent="0.25">
      <c r="A32" s="83" t="s">
        <v>305</v>
      </c>
      <c r="B32" s="83" t="s">
        <v>306</v>
      </c>
    </row>
    <row r="33" spans="1:2" x14ac:dyDescent="0.25">
      <c r="A33" s="83" t="s">
        <v>307</v>
      </c>
      <c r="B33" s="83" t="s">
        <v>308</v>
      </c>
    </row>
    <row r="34" spans="1:2" x14ac:dyDescent="0.25">
      <c r="A34" s="83" t="s">
        <v>309</v>
      </c>
      <c r="B34" s="83" t="s">
        <v>310</v>
      </c>
    </row>
    <row r="35" spans="1:2" x14ac:dyDescent="0.25">
      <c r="A35" s="83" t="s">
        <v>311</v>
      </c>
      <c r="B35" s="83" t="s">
        <v>312</v>
      </c>
    </row>
    <row r="36" spans="1:2" x14ac:dyDescent="0.25">
      <c r="A36" s="83" t="s">
        <v>313</v>
      </c>
      <c r="B36" s="83" t="s">
        <v>314</v>
      </c>
    </row>
    <row r="37" spans="1:2" x14ac:dyDescent="0.25">
      <c r="A37" s="83" t="s">
        <v>315</v>
      </c>
      <c r="B37" s="83" t="s">
        <v>316</v>
      </c>
    </row>
    <row r="38" spans="1:2" x14ac:dyDescent="0.25">
      <c r="A38" s="83" t="s">
        <v>317</v>
      </c>
      <c r="B38" s="83" t="s">
        <v>318</v>
      </c>
    </row>
    <row r="39" spans="1:2" x14ac:dyDescent="0.25">
      <c r="A39" s="83" t="s">
        <v>319</v>
      </c>
      <c r="B39" s="83" t="s">
        <v>320</v>
      </c>
    </row>
    <row r="40" spans="1:2" x14ac:dyDescent="0.25">
      <c r="A40" s="83" t="s">
        <v>321</v>
      </c>
      <c r="B40" s="83" t="s">
        <v>322</v>
      </c>
    </row>
    <row r="41" spans="1:2" x14ac:dyDescent="0.25">
      <c r="A41" s="83" t="s">
        <v>323</v>
      </c>
      <c r="B41" s="83" t="s">
        <v>324</v>
      </c>
    </row>
    <row r="42" spans="1:2" x14ac:dyDescent="0.25">
      <c r="A42" s="83" t="s">
        <v>325</v>
      </c>
      <c r="B42" s="83" t="s">
        <v>326</v>
      </c>
    </row>
    <row r="43" spans="1:2" x14ac:dyDescent="0.25">
      <c r="A43" s="83" t="s">
        <v>327</v>
      </c>
      <c r="B43" s="83" t="s">
        <v>328</v>
      </c>
    </row>
    <row r="44" spans="1:2" x14ac:dyDescent="0.25">
      <c r="A44" s="83" t="s">
        <v>329</v>
      </c>
      <c r="B44" s="83" t="s">
        <v>330</v>
      </c>
    </row>
    <row r="45" spans="1:2" x14ac:dyDescent="0.25">
      <c r="A45" s="83" t="s">
        <v>331</v>
      </c>
      <c r="B45" s="83" t="s">
        <v>332</v>
      </c>
    </row>
    <row r="46" spans="1:2" x14ac:dyDescent="0.25">
      <c r="A46" s="83" t="s">
        <v>333</v>
      </c>
      <c r="B46" s="83" t="s">
        <v>334</v>
      </c>
    </row>
    <row r="47" spans="1:2" x14ac:dyDescent="0.25">
      <c r="A47" s="83" t="s">
        <v>335</v>
      </c>
      <c r="B47" s="83" t="s">
        <v>336</v>
      </c>
    </row>
    <row r="48" spans="1:2" x14ac:dyDescent="0.25">
      <c r="A48" s="83" t="s">
        <v>337</v>
      </c>
      <c r="B48" s="83" t="s">
        <v>338</v>
      </c>
    </row>
    <row r="49" spans="1:2" x14ac:dyDescent="0.25">
      <c r="A49" s="83" t="s">
        <v>339</v>
      </c>
      <c r="B49" s="83" t="s">
        <v>340</v>
      </c>
    </row>
    <row r="50" spans="1:2" x14ac:dyDescent="0.25">
      <c r="A50" s="83" t="s">
        <v>341</v>
      </c>
      <c r="B50" s="83" t="s">
        <v>342</v>
      </c>
    </row>
    <row r="51" spans="1:2" x14ac:dyDescent="0.25">
      <c r="A51" s="83" t="s">
        <v>343</v>
      </c>
      <c r="B51" s="83" t="s">
        <v>344</v>
      </c>
    </row>
    <row r="52" spans="1:2" x14ac:dyDescent="0.25">
      <c r="A52" s="83" t="s">
        <v>345</v>
      </c>
      <c r="B52" s="83" t="s">
        <v>346</v>
      </c>
    </row>
    <row r="53" spans="1:2" x14ac:dyDescent="0.25">
      <c r="A53" s="83" t="s">
        <v>347</v>
      </c>
      <c r="B53" s="83" t="s">
        <v>348</v>
      </c>
    </row>
    <row r="54" spans="1:2" x14ac:dyDescent="0.25">
      <c r="A54" s="83" t="s">
        <v>349</v>
      </c>
      <c r="B54" s="83" t="s">
        <v>350</v>
      </c>
    </row>
    <row r="55" spans="1:2" x14ac:dyDescent="0.25">
      <c r="A55" s="83" t="s">
        <v>351</v>
      </c>
      <c r="B55" s="83" t="s">
        <v>352</v>
      </c>
    </row>
    <row r="56" spans="1:2" x14ac:dyDescent="0.25">
      <c r="A56" s="83" t="s">
        <v>353</v>
      </c>
      <c r="B56" s="83" t="s">
        <v>354</v>
      </c>
    </row>
    <row r="57" spans="1:2" x14ac:dyDescent="0.25">
      <c r="A57" s="83" t="s">
        <v>355</v>
      </c>
      <c r="B57" s="83" t="s">
        <v>356</v>
      </c>
    </row>
    <row r="58" spans="1:2" x14ac:dyDescent="0.25">
      <c r="A58" s="83" t="s">
        <v>357</v>
      </c>
      <c r="B58" s="83" t="s">
        <v>358</v>
      </c>
    </row>
    <row r="59" spans="1:2" x14ac:dyDescent="0.25">
      <c r="A59" s="83" t="s">
        <v>359</v>
      </c>
      <c r="B59" s="83" t="s">
        <v>360</v>
      </c>
    </row>
    <row r="60" spans="1:2" x14ac:dyDescent="0.25">
      <c r="A60" s="83" t="s">
        <v>361</v>
      </c>
      <c r="B60" s="83" t="s">
        <v>362</v>
      </c>
    </row>
    <row r="61" spans="1:2" x14ac:dyDescent="0.25">
      <c r="A61" s="83" t="s">
        <v>363</v>
      </c>
      <c r="B61" s="83" t="s">
        <v>364</v>
      </c>
    </row>
    <row r="62" spans="1:2" x14ac:dyDescent="0.25">
      <c r="A62" s="83" t="s">
        <v>365</v>
      </c>
      <c r="B62" s="83" t="s">
        <v>366</v>
      </c>
    </row>
    <row r="63" spans="1:2" x14ac:dyDescent="0.25">
      <c r="A63" s="83" t="s">
        <v>367</v>
      </c>
      <c r="B63" s="83" t="s">
        <v>368</v>
      </c>
    </row>
    <row r="64" spans="1:2" x14ac:dyDescent="0.25">
      <c r="A64" s="83" t="s">
        <v>369</v>
      </c>
      <c r="B64" s="83" t="s">
        <v>370</v>
      </c>
    </row>
    <row r="65" spans="1:2" x14ac:dyDescent="0.25">
      <c r="A65" s="83" t="s">
        <v>371</v>
      </c>
      <c r="B65" s="83" t="s">
        <v>372</v>
      </c>
    </row>
    <row r="66" spans="1:2" x14ac:dyDescent="0.25">
      <c r="A66" s="83" t="s">
        <v>373</v>
      </c>
      <c r="B66" s="83" t="s">
        <v>374</v>
      </c>
    </row>
    <row r="67" spans="1:2" x14ac:dyDescent="0.25">
      <c r="A67" s="83" t="s">
        <v>375</v>
      </c>
      <c r="B67" s="83" t="s">
        <v>376</v>
      </c>
    </row>
    <row r="68" spans="1:2" x14ac:dyDescent="0.25">
      <c r="A68" s="83" t="s">
        <v>377</v>
      </c>
      <c r="B68" s="83" t="s">
        <v>378</v>
      </c>
    </row>
    <row r="69" spans="1:2" x14ac:dyDescent="0.25">
      <c r="A69" s="83" t="s">
        <v>379</v>
      </c>
      <c r="B69" s="83" t="s">
        <v>380</v>
      </c>
    </row>
    <row r="70" spans="1:2" x14ac:dyDescent="0.25">
      <c r="A70" s="83" t="s">
        <v>381</v>
      </c>
      <c r="B70" s="83" t="s">
        <v>0</v>
      </c>
    </row>
    <row r="71" spans="1:2" x14ac:dyDescent="0.25">
      <c r="A71" s="83" t="s">
        <v>382</v>
      </c>
      <c r="B71" s="83" t="s">
        <v>1</v>
      </c>
    </row>
    <row r="72" spans="1:2" x14ac:dyDescent="0.25">
      <c r="A72" s="83" t="s">
        <v>383</v>
      </c>
      <c r="B72" s="83" t="s">
        <v>11</v>
      </c>
    </row>
    <row r="73" spans="1:2" x14ac:dyDescent="0.25">
      <c r="A73" s="83" t="s">
        <v>384</v>
      </c>
      <c r="B73" s="83" t="s">
        <v>385</v>
      </c>
    </row>
    <row r="74" spans="1:2" x14ac:dyDescent="0.25">
      <c r="A74" s="83" t="s">
        <v>386</v>
      </c>
      <c r="B74" s="83" t="s">
        <v>387</v>
      </c>
    </row>
    <row r="75" spans="1:2" x14ac:dyDescent="0.25">
      <c r="A75" s="83" t="s">
        <v>388</v>
      </c>
      <c r="B75" s="83" t="s">
        <v>3</v>
      </c>
    </row>
    <row r="76" spans="1:2" x14ac:dyDescent="0.25">
      <c r="A76" s="83" t="s">
        <v>389</v>
      </c>
      <c r="B76" s="83" t="s">
        <v>390</v>
      </c>
    </row>
    <row r="77" spans="1:2" x14ac:dyDescent="0.25">
      <c r="A77" s="83" t="s">
        <v>391</v>
      </c>
      <c r="B77" s="83" t="s">
        <v>392</v>
      </c>
    </row>
    <row r="78" spans="1:2" x14ac:dyDescent="0.25">
      <c r="A78" s="83" t="s">
        <v>393</v>
      </c>
      <c r="B78" s="83" t="s">
        <v>394</v>
      </c>
    </row>
    <row r="79" spans="1:2" x14ac:dyDescent="0.25">
      <c r="A79" s="83" t="s">
        <v>395</v>
      </c>
      <c r="B79" s="83" t="s">
        <v>396</v>
      </c>
    </row>
    <row r="80" spans="1:2" x14ac:dyDescent="0.25">
      <c r="A80" s="83" t="s">
        <v>397</v>
      </c>
      <c r="B80" s="83" t="s">
        <v>6</v>
      </c>
    </row>
    <row r="81" spans="1:2" x14ac:dyDescent="0.25">
      <c r="A81" s="83" t="s">
        <v>398</v>
      </c>
      <c r="B81" s="83" t="s">
        <v>399</v>
      </c>
    </row>
    <row r="82" spans="1:2" x14ac:dyDescent="0.25">
      <c r="A82" s="83" t="s">
        <v>400</v>
      </c>
      <c r="B82" s="83" t="s">
        <v>401</v>
      </c>
    </row>
    <row r="83" spans="1:2" x14ac:dyDescent="0.25">
      <c r="A83" s="83" t="s">
        <v>402</v>
      </c>
      <c r="B83" s="83" t="s">
        <v>403</v>
      </c>
    </row>
    <row r="84" spans="1:2" x14ac:dyDescent="0.25">
      <c r="A84" s="83" t="s">
        <v>404</v>
      </c>
      <c r="B84" s="83" t="s">
        <v>405</v>
      </c>
    </row>
    <row r="85" spans="1:2" x14ac:dyDescent="0.25">
      <c r="A85" s="83" t="s">
        <v>406</v>
      </c>
      <c r="B85" s="83" t="s">
        <v>407</v>
      </c>
    </row>
    <row r="86" spans="1:2" x14ac:dyDescent="0.25">
      <c r="A86" s="83" t="s">
        <v>408</v>
      </c>
      <c r="B86" s="83" t="s">
        <v>409</v>
      </c>
    </row>
    <row r="87" spans="1:2" x14ac:dyDescent="0.25">
      <c r="A87" s="83" t="s">
        <v>410</v>
      </c>
      <c r="B87" s="83" t="s">
        <v>411</v>
      </c>
    </row>
    <row r="88" spans="1:2" x14ac:dyDescent="0.25">
      <c r="A88" s="83" t="s">
        <v>412</v>
      </c>
      <c r="B88" s="83" t="s">
        <v>413</v>
      </c>
    </row>
    <row r="89" spans="1:2" x14ac:dyDescent="0.25">
      <c r="A89" s="83" t="s">
        <v>414</v>
      </c>
      <c r="B89" s="83" t="s">
        <v>415</v>
      </c>
    </row>
    <row r="90" spans="1:2" x14ac:dyDescent="0.25">
      <c r="A90" s="83" t="s">
        <v>416</v>
      </c>
      <c r="B90" s="83" t="s">
        <v>417</v>
      </c>
    </row>
    <row r="91" spans="1:2" x14ac:dyDescent="0.25">
      <c r="A91" s="83" t="s">
        <v>418</v>
      </c>
      <c r="B91" s="83" t="s">
        <v>419</v>
      </c>
    </row>
    <row r="92" spans="1:2" x14ac:dyDescent="0.25">
      <c r="A92" s="83" t="s">
        <v>420</v>
      </c>
      <c r="B92" s="83" t="s">
        <v>421</v>
      </c>
    </row>
    <row r="93" spans="1:2" x14ac:dyDescent="0.25">
      <c r="A93" s="83" t="s">
        <v>422</v>
      </c>
      <c r="B93" s="83" t="s">
        <v>423</v>
      </c>
    </row>
    <row r="94" spans="1:2" x14ac:dyDescent="0.25">
      <c r="A94" s="83" t="s">
        <v>424</v>
      </c>
      <c r="B94" s="83" t="s">
        <v>425</v>
      </c>
    </row>
    <row r="95" spans="1:2" x14ac:dyDescent="0.25">
      <c r="A95" s="83" t="s">
        <v>426</v>
      </c>
      <c r="B95" s="83" t="s">
        <v>427</v>
      </c>
    </row>
    <row r="96" spans="1:2" x14ac:dyDescent="0.25">
      <c r="A96" s="83" t="s">
        <v>428</v>
      </c>
      <c r="B96" s="83" t="s">
        <v>429</v>
      </c>
    </row>
    <row r="97" spans="1:2" x14ac:dyDescent="0.25">
      <c r="A97" s="83" t="s">
        <v>430</v>
      </c>
      <c r="B97" s="83" t="s">
        <v>431</v>
      </c>
    </row>
    <row r="98" spans="1:2" x14ac:dyDescent="0.25">
      <c r="A98" s="83" t="s">
        <v>432</v>
      </c>
      <c r="B98" s="83" t="s">
        <v>433</v>
      </c>
    </row>
    <row r="99" spans="1:2" x14ac:dyDescent="0.25">
      <c r="A99" s="83" t="s">
        <v>434</v>
      </c>
      <c r="B99" s="83" t="s">
        <v>435</v>
      </c>
    </row>
    <row r="100" spans="1:2" x14ac:dyDescent="0.25">
      <c r="A100" s="83" t="s">
        <v>436</v>
      </c>
      <c r="B100" s="83" t="s">
        <v>437</v>
      </c>
    </row>
    <row r="101" spans="1:2" x14ac:dyDescent="0.25">
      <c r="A101" s="83" t="s">
        <v>438</v>
      </c>
      <c r="B101" s="83" t="s">
        <v>439</v>
      </c>
    </row>
    <row r="102" spans="1:2" x14ac:dyDescent="0.25">
      <c r="A102" s="83" t="s">
        <v>486</v>
      </c>
      <c r="B102" s="83" t="s">
        <v>487</v>
      </c>
    </row>
    <row r="103" spans="1:2" x14ac:dyDescent="0.25">
      <c r="A103" s="83" t="s">
        <v>488</v>
      </c>
      <c r="B103" s="83" t="s">
        <v>489</v>
      </c>
    </row>
    <row r="104" spans="1:2" x14ac:dyDescent="0.25">
      <c r="A104" s="83" t="s">
        <v>490</v>
      </c>
      <c r="B104" s="83" t="s">
        <v>491</v>
      </c>
    </row>
    <row r="105" spans="1:2" x14ac:dyDescent="0.25">
      <c r="A105" s="83" t="s">
        <v>440</v>
      </c>
      <c r="B105" s="83" t="s">
        <v>441</v>
      </c>
    </row>
    <row r="106" spans="1:2" x14ac:dyDescent="0.25">
      <c r="A106" s="83" t="s">
        <v>442</v>
      </c>
      <c r="B106" s="83" t="s">
        <v>443</v>
      </c>
    </row>
    <row r="107" spans="1:2" x14ac:dyDescent="0.25">
      <c r="A107" s="83" t="s">
        <v>444</v>
      </c>
      <c r="B107" s="83" t="s">
        <v>445</v>
      </c>
    </row>
    <row r="108" spans="1:2" x14ac:dyDescent="0.25">
      <c r="A108" s="83" t="s">
        <v>446</v>
      </c>
      <c r="B108" s="83" t="s">
        <v>447</v>
      </c>
    </row>
    <row r="109" spans="1:2" x14ac:dyDescent="0.25">
      <c r="A109" s="83" t="s">
        <v>492</v>
      </c>
      <c r="B109" s="83" t="s">
        <v>493</v>
      </c>
    </row>
    <row r="110" spans="1:2" x14ac:dyDescent="0.25">
      <c r="A110" s="83" t="s">
        <v>494</v>
      </c>
      <c r="B110" s="83" t="s">
        <v>495</v>
      </c>
    </row>
    <row r="111" spans="1:2" x14ac:dyDescent="0.25">
      <c r="A111" s="83" t="s">
        <v>496</v>
      </c>
      <c r="B111" s="83" t="s">
        <v>497</v>
      </c>
    </row>
    <row r="112" spans="1:2" x14ac:dyDescent="0.25">
      <c r="A112" s="83" t="s">
        <v>448</v>
      </c>
      <c r="B112" s="83" t="s">
        <v>449</v>
      </c>
    </row>
    <row r="113" spans="1:2" x14ac:dyDescent="0.25">
      <c r="A113" s="83" t="s">
        <v>450</v>
      </c>
      <c r="B113" s="83" t="s">
        <v>451</v>
      </c>
    </row>
    <row r="114" spans="1:2" x14ac:dyDescent="0.25">
      <c r="A114" s="83" t="s">
        <v>452</v>
      </c>
      <c r="B114" s="83" t="s">
        <v>453</v>
      </c>
    </row>
    <row r="115" spans="1:2" x14ac:dyDescent="0.25">
      <c r="A115" s="83" t="s">
        <v>454</v>
      </c>
      <c r="B115" s="83" t="s">
        <v>455</v>
      </c>
    </row>
    <row r="116" spans="1:2" x14ac:dyDescent="0.25">
      <c r="A116" s="83" t="s">
        <v>456</v>
      </c>
      <c r="B116" s="83" t="s">
        <v>457</v>
      </c>
    </row>
    <row r="117" spans="1:2" x14ac:dyDescent="0.25">
      <c r="A117" s="83" t="s">
        <v>458</v>
      </c>
      <c r="B117" s="83" t="s">
        <v>459</v>
      </c>
    </row>
    <row r="118" spans="1:2" x14ac:dyDescent="0.25">
      <c r="A118" s="83" t="s">
        <v>460</v>
      </c>
      <c r="B118" s="83" t="s">
        <v>461</v>
      </c>
    </row>
    <row r="119" spans="1:2" x14ac:dyDescent="0.25">
      <c r="A119" s="83" t="s">
        <v>462</v>
      </c>
      <c r="B119" s="83" t="s">
        <v>463</v>
      </c>
    </row>
    <row r="120" spans="1:2" x14ac:dyDescent="0.25">
      <c r="A120" s="83" t="s">
        <v>464</v>
      </c>
      <c r="B120" s="83" t="s">
        <v>465</v>
      </c>
    </row>
    <row r="121" spans="1:2" x14ac:dyDescent="0.25">
      <c r="A121" s="83" t="s">
        <v>466</v>
      </c>
      <c r="B121" s="83" t="s">
        <v>49</v>
      </c>
    </row>
    <row r="122" spans="1:2" x14ac:dyDescent="0.25">
      <c r="A122" s="83" t="s">
        <v>467</v>
      </c>
      <c r="B122" s="83" t="s">
        <v>214</v>
      </c>
    </row>
    <row r="123" spans="1:2" x14ac:dyDescent="0.25">
      <c r="A123" s="83" t="s">
        <v>468</v>
      </c>
      <c r="B123" s="83" t="s">
        <v>44</v>
      </c>
    </row>
    <row r="124" spans="1:2" x14ac:dyDescent="0.25">
      <c r="A124" s="83" t="s">
        <v>469</v>
      </c>
      <c r="B124" s="83" t="s">
        <v>54</v>
      </c>
    </row>
    <row r="125" spans="1:2" x14ac:dyDescent="0.25">
      <c r="A125" s="83" t="s">
        <v>470</v>
      </c>
      <c r="B125" s="83" t="s">
        <v>471</v>
      </c>
    </row>
    <row r="126" spans="1:2" x14ac:dyDescent="0.25">
      <c r="A126" s="83" t="s">
        <v>472</v>
      </c>
      <c r="B126" s="83" t="s">
        <v>473</v>
      </c>
    </row>
    <row r="127" spans="1:2" x14ac:dyDescent="0.25">
      <c r="A127" s="83" t="s">
        <v>474</v>
      </c>
      <c r="B127" s="83" t="s">
        <v>475</v>
      </c>
    </row>
    <row r="128" spans="1:2" x14ac:dyDescent="0.25">
      <c r="A128" s="83" t="s">
        <v>476</v>
      </c>
      <c r="B128" s="83" t="s">
        <v>477</v>
      </c>
    </row>
    <row r="129" spans="1:2" x14ac:dyDescent="0.25">
      <c r="A129" s="83" t="s">
        <v>478</v>
      </c>
      <c r="B129" s="83" t="s">
        <v>479</v>
      </c>
    </row>
    <row r="130" spans="1:2" x14ac:dyDescent="0.25">
      <c r="A130" s="83" t="s">
        <v>480</v>
      </c>
      <c r="B130" s="83" t="s">
        <v>481</v>
      </c>
    </row>
    <row r="131" spans="1:2" x14ac:dyDescent="0.25">
      <c r="A131" s="83" t="s">
        <v>482</v>
      </c>
      <c r="B131" s="83" t="s">
        <v>483</v>
      </c>
    </row>
    <row r="132" spans="1:2" x14ac:dyDescent="0.25">
      <c r="A132" s="83" t="s">
        <v>484</v>
      </c>
      <c r="B132" s="83" t="s">
        <v>485</v>
      </c>
    </row>
    <row r="133" spans="1:2" x14ac:dyDescent="0.25">
      <c r="A133" s="83" t="s">
        <v>498</v>
      </c>
      <c r="B133" s="83" t="s">
        <v>499</v>
      </c>
    </row>
    <row r="134" spans="1:2" x14ac:dyDescent="0.25">
      <c r="A134" s="83" t="s">
        <v>500</v>
      </c>
      <c r="B134" s="83" t="s">
        <v>501</v>
      </c>
    </row>
    <row r="135" spans="1:2" x14ac:dyDescent="0.25">
      <c r="A135" s="83" t="s">
        <v>502</v>
      </c>
      <c r="B135" s="83" t="s">
        <v>503</v>
      </c>
    </row>
    <row r="136" spans="1:2" x14ac:dyDescent="0.25">
      <c r="A136" s="83" t="s">
        <v>504</v>
      </c>
      <c r="B136" s="83" t="s">
        <v>143</v>
      </c>
    </row>
    <row r="137" spans="1:2" x14ac:dyDescent="0.25">
      <c r="A137" s="83" t="s">
        <v>505</v>
      </c>
      <c r="B137" s="83" t="s">
        <v>506</v>
      </c>
    </row>
    <row r="138" spans="1:2" x14ac:dyDescent="0.25">
      <c r="A138" s="83" t="s">
        <v>507</v>
      </c>
      <c r="B138" s="83" t="s">
        <v>508</v>
      </c>
    </row>
    <row r="139" spans="1:2" x14ac:dyDescent="0.25">
      <c r="A139" s="83" t="s">
        <v>509</v>
      </c>
      <c r="B139" s="83" t="s">
        <v>510</v>
      </c>
    </row>
    <row r="140" spans="1:2" x14ac:dyDescent="0.25">
      <c r="A140" s="83" t="s">
        <v>511</v>
      </c>
      <c r="B140" s="83" t="s">
        <v>512</v>
      </c>
    </row>
    <row r="141" spans="1:2" x14ac:dyDescent="0.25">
      <c r="A141" s="83" t="s">
        <v>513</v>
      </c>
      <c r="B141" s="83" t="s">
        <v>514</v>
      </c>
    </row>
    <row r="142" spans="1:2" x14ac:dyDescent="0.25">
      <c r="A142" s="83" t="s">
        <v>515</v>
      </c>
      <c r="B142" s="83" t="s">
        <v>516</v>
      </c>
    </row>
    <row r="143" spans="1:2" x14ac:dyDescent="0.25">
      <c r="A143" s="83" t="s">
        <v>517</v>
      </c>
      <c r="B143" s="83" t="s">
        <v>518</v>
      </c>
    </row>
    <row r="144" spans="1:2" x14ac:dyDescent="0.25">
      <c r="A144" s="83" t="s">
        <v>519</v>
      </c>
      <c r="B144" s="83" t="s">
        <v>520</v>
      </c>
    </row>
    <row r="145" spans="1:2" x14ac:dyDescent="0.25">
      <c r="A145" s="83" t="s">
        <v>239</v>
      </c>
      <c r="B145" s="83" t="s">
        <v>77</v>
      </c>
    </row>
    <row r="146" spans="1:2" x14ac:dyDescent="0.25">
      <c r="A146" s="83" t="s">
        <v>521</v>
      </c>
      <c r="B146" s="83" t="s">
        <v>204</v>
      </c>
    </row>
    <row r="147" spans="1:2" x14ac:dyDescent="0.25">
      <c r="A147" s="83" t="s">
        <v>468</v>
      </c>
      <c r="B147" s="83" t="s">
        <v>44</v>
      </c>
    </row>
    <row r="148" spans="1:2" x14ac:dyDescent="0.25">
      <c r="A148" s="83" t="s">
        <v>469</v>
      </c>
      <c r="B148" s="83" t="s">
        <v>54</v>
      </c>
    </row>
    <row r="149" spans="1:2" x14ac:dyDescent="0.25">
      <c r="A149" s="83" t="s">
        <v>522</v>
      </c>
      <c r="B149" s="83" t="s">
        <v>65</v>
      </c>
    </row>
    <row r="150" spans="1:2" x14ac:dyDescent="0.25">
      <c r="A150" s="83" t="s">
        <v>523</v>
      </c>
      <c r="B150" s="83" t="s">
        <v>205</v>
      </c>
    </row>
    <row r="151" spans="1:2" x14ac:dyDescent="0.25">
      <c r="A151" s="83" t="s">
        <v>382</v>
      </c>
      <c r="B151" s="83" t="s">
        <v>1</v>
      </c>
    </row>
    <row r="152" spans="1:2" x14ac:dyDescent="0.25">
      <c r="A152" s="83" t="s">
        <v>524</v>
      </c>
      <c r="B152" s="83" t="s">
        <v>158</v>
      </c>
    </row>
    <row r="153" spans="1:2" x14ac:dyDescent="0.25">
      <c r="A153" s="83" t="s">
        <v>525</v>
      </c>
      <c r="B153" s="83" t="s">
        <v>526</v>
      </c>
    </row>
    <row r="154" spans="1:2" x14ac:dyDescent="0.25">
      <c r="A154" s="83" t="s">
        <v>527</v>
      </c>
      <c r="B154" s="83" t="s">
        <v>528</v>
      </c>
    </row>
    <row r="155" spans="1:2" x14ac:dyDescent="0.25">
      <c r="A155" s="83" t="s">
        <v>529</v>
      </c>
      <c r="B155" s="83" t="s">
        <v>530</v>
      </c>
    </row>
    <row r="156" spans="1:2" x14ac:dyDescent="0.25">
      <c r="A156" s="83" t="s">
        <v>531</v>
      </c>
      <c r="B156" s="83" t="s">
        <v>532</v>
      </c>
    </row>
    <row r="157" spans="1:2" x14ac:dyDescent="0.25">
      <c r="A157" s="83" t="s">
        <v>533</v>
      </c>
      <c r="B157" s="83" t="s">
        <v>160</v>
      </c>
    </row>
    <row r="158" spans="1:2" x14ac:dyDescent="0.25">
      <c r="A158" s="83" t="s">
        <v>534</v>
      </c>
      <c r="B158" s="83" t="s">
        <v>535</v>
      </c>
    </row>
    <row r="159" spans="1:2" x14ac:dyDescent="0.25">
      <c r="A159" s="83" t="s">
        <v>536</v>
      </c>
      <c r="B159" s="83" t="s">
        <v>537</v>
      </c>
    </row>
    <row r="160" spans="1:2" x14ac:dyDescent="0.25">
      <c r="A160" s="83" t="s">
        <v>538</v>
      </c>
      <c r="B160" s="83" t="s">
        <v>539</v>
      </c>
    </row>
    <row r="161" spans="1:2" x14ac:dyDescent="0.25">
      <c r="A161" s="83" t="s">
        <v>540</v>
      </c>
      <c r="B161" s="83" t="s">
        <v>207</v>
      </c>
    </row>
    <row r="162" spans="1:2" x14ac:dyDescent="0.25">
      <c r="A162" s="83" t="s">
        <v>541</v>
      </c>
      <c r="B162" s="83" t="s">
        <v>542</v>
      </c>
    </row>
    <row r="163" spans="1:2" x14ac:dyDescent="0.25">
      <c r="A163" s="83" t="s">
        <v>543</v>
      </c>
      <c r="B163" s="83" t="s">
        <v>208</v>
      </c>
    </row>
    <row r="164" spans="1:2" x14ac:dyDescent="0.25">
      <c r="A164" s="83" t="s">
        <v>544</v>
      </c>
      <c r="B164" s="83" t="s">
        <v>545</v>
      </c>
    </row>
    <row r="165" spans="1:2" x14ac:dyDescent="0.25">
      <c r="A165" s="83" t="s">
        <v>546</v>
      </c>
      <c r="B165" s="83" t="s">
        <v>547</v>
      </c>
    </row>
    <row r="166" spans="1:2" x14ac:dyDescent="0.25">
      <c r="A166" s="83" t="s">
        <v>548</v>
      </c>
      <c r="B166" s="83" t="s">
        <v>549</v>
      </c>
    </row>
    <row r="167" spans="1:2" x14ac:dyDescent="0.25">
      <c r="A167" s="83" t="s">
        <v>550</v>
      </c>
      <c r="B167" s="83" t="s">
        <v>551</v>
      </c>
    </row>
    <row r="168" spans="1:2" x14ac:dyDescent="0.25">
      <c r="A168" s="83" t="s">
        <v>552</v>
      </c>
      <c r="B168" s="83" t="s">
        <v>553</v>
      </c>
    </row>
    <row r="169" spans="1:2" x14ac:dyDescent="0.25">
      <c r="A169" s="83" t="s">
        <v>554</v>
      </c>
      <c r="B169" s="83" t="s">
        <v>555</v>
      </c>
    </row>
    <row r="170" spans="1:2" x14ac:dyDescent="0.25">
      <c r="A170" s="83" t="s">
        <v>556</v>
      </c>
      <c r="B170" s="83" t="s">
        <v>557</v>
      </c>
    </row>
    <row r="171" spans="1:2" x14ac:dyDescent="0.25">
      <c r="A171" s="83" t="s">
        <v>558</v>
      </c>
      <c r="B171" s="83" t="s">
        <v>559</v>
      </c>
    </row>
    <row r="172" spans="1:2" x14ac:dyDescent="0.25">
      <c r="A172" s="83" t="s">
        <v>560</v>
      </c>
      <c r="B172" s="83" t="s">
        <v>561</v>
      </c>
    </row>
    <row r="173" spans="1:2" x14ac:dyDescent="0.25">
      <c r="A173" s="83" t="s">
        <v>562</v>
      </c>
      <c r="B173" s="83" t="s">
        <v>563</v>
      </c>
    </row>
    <row r="174" spans="1:2" x14ac:dyDescent="0.25">
      <c r="A174" s="83" t="s">
        <v>564</v>
      </c>
      <c r="B174" s="83" t="s">
        <v>565</v>
      </c>
    </row>
    <row r="175" spans="1:2" x14ac:dyDescent="0.25">
      <c r="A175" s="83" t="s">
        <v>566</v>
      </c>
      <c r="B175" s="83" t="s">
        <v>567</v>
      </c>
    </row>
    <row r="176" spans="1:2" x14ac:dyDescent="0.25">
      <c r="A176" s="83" t="s">
        <v>568</v>
      </c>
      <c r="B176" s="83" t="s">
        <v>569</v>
      </c>
    </row>
    <row r="177" spans="1:2" x14ac:dyDescent="0.25">
      <c r="A177" s="83" t="s">
        <v>570</v>
      </c>
      <c r="B177" s="83" t="s">
        <v>571</v>
      </c>
    </row>
    <row r="178" spans="1:2" x14ac:dyDescent="0.25">
      <c r="A178" s="83" t="s">
        <v>572</v>
      </c>
      <c r="B178" s="83" t="s">
        <v>573</v>
      </c>
    </row>
    <row r="179" spans="1:2" x14ac:dyDescent="0.25">
      <c r="A179" s="83" t="s">
        <v>574</v>
      </c>
      <c r="B179" s="83" t="s">
        <v>575</v>
      </c>
    </row>
    <row r="180" spans="1:2" x14ac:dyDescent="0.25">
      <c r="A180" s="83" t="s">
        <v>576</v>
      </c>
      <c r="B180" s="83" t="s">
        <v>577</v>
      </c>
    </row>
    <row r="181" spans="1:2" x14ac:dyDescent="0.25">
      <c r="A181" s="83" t="s">
        <v>578</v>
      </c>
      <c r="B181" s="83" t="s">
        <v>579</v>
      </c>
    </row>
    <row r="182" spans="1:2" x14ac:dyDescent="0.25">
      <c r="A182" s="83" t="s">
        <v>580</v>
      </c>
      <c r="B182" s="83" t="s">
        <v>581</v>
      </c>
    </row>
    <row r="183" spans="1:2" x14ac:dyDescent="0.25">
      <c r="A183" s="83" t="s">
        <v>582</v>
      </c>
      <c r="B183" s="83" t="s">
        <v>583</v>
      </c>
    </row>
    <row r="184" spans="1:2" x14ac:dyDescent="0.25">
      <c r="A184" s="83" t="s">
        <v>584</v>
      </c>
      <c r="B184" s="83" t="s">
        <v>585</v>
      </c>
    </row>
    <row r="185" spans="1:2" x14ac:dyDescent="0.25">
      <c r="A185" s="83" t="s">
        <v>586</v>
      </c>
      <c r="B185" s="83" t="s">
        <v>587</v>
      </c>
    </row>
    <row r="186" spans="1:2" x14ac:dyDescent="0.25">
      <c r="A186" s="83" t="s">
        <v>588</v>
      </c>
      <c r="B186" s="83" t="s">
        <v>589</v>
      </c>
    </row>
    <row r="187" spans="1:2" x14ac:dyDescent="0.25">
      <c r="A187" s="83" t="s">
        <v>590</v>
      </c>
      <c r="B187" s="83" t="s">
        <v>591</v>
      </c>
    </row>
    <row r="188" spans="1:2" x14ac:dyDescent="0.25">
      <c r="A188" s="83" t="s">
        <v>592</v>
      </c>
      <c r="B188" s="83" t="s">
        <v>593</v>
      </c>
    </row>
    <row r="189" spans="1:2" x14ac:dyDescent="0.25">
      <c r="A189" s="83" t="s">
        <v>594</v>
      </c>
      <c r="B189" s="83" t="s">
        <v>595</v>
      </c>
    </row>
    <row r="190" spans="1:2" x14ac:dyDescent="0.25">
      <c r="A190" s="83" t="s">
        <v>596</v>
      </c>
      <c r="B190" s="83" t="s">
        <v>597</v>
      </c>
    </row>
    <row r="191" spans="1:2" x14ac:dyDescent="0.25">
      <c r="A191" s="83" t="s">
        <v>598</v>
      </c>
      <c r="B191" s="83" t="s">
        <v>599</v>
      </c>
    </row>
    <row r="192" spans="1:2" x14ac:dyDescent="0.25">
      <c r="A192" s="83" t="s">
        <v>600</v>
      </c>
      <c r="B192" s="83" t="s">
        <v>601</v>
      </c>
    </row>
    <row r="193" spans="1:2" x14ac:dyDescent="0.25">
      <c r="A193" s="83" t="s">
        <v>602</v>
      </c>
      <c r="B193" s="83" t="s">
        <v>603</v>
      </c>
    </row>
    <row r="194" spans="1:2" x14ac:dyDescent="0.25">
      <c r="A194" s="83" t="s">
        <v>604</v>
      </c>
      <c r="B194" s="83" t="s">
        <v>605</v>
      </c>
    </row>
    <row r="195" spans="1:2" x14ac:dyDescent="0.25">
      <c r="A195" s="83" t="s">
        <v>606</v>
      </c>
      <c r="B195" s="83" t="s">
        <v>607</v>
      </c>
    </row>
    <row r="196" spans="1:2" x14ac:dyDescent="0.25">
      <c r="A196" s="83" t="s">
        <v>608</v>
      </c>
      <c r="B196" s="83" t="s">
        <v>609</v>
      </c>
    </row>
    <row r="197" spans="1:2" x14ac:dyDescent="0.25">
      <c r="A197" s="83" t="s">
        <v>612</v>
      </c>
      <c r="B197" s="83" t="s">
        <v>613</v>
      </c>
    </row>
    <row r="198" spans="1:2" x14ac:dyDescent="0.25">
      <c r="A198" s="83" t="s">
        <v>614</v>
      </c>
      <c r="B198" s="83" t="s">
        <v>615</v>
      </c>
    </row>
    <row r="199" spans="1:2" x14ac:dyDescent="0.25">
      <c r="A199" s="83" t="s">
        <v>616</v>
      </c>
      <c r="B199" s="83" t="s">
        <v>617</v>
      </c>
    </row>
    <row r="200" spans="1:2" x14ac:dyDescent="0.25">
      <c r="A200" s="83" t="s">
        <v>618</v>
      </c>
      <c r="B200" s="83" t="s">
        <v>619</v>
      </c>
    </row>
    <row r="201" spans="1:2" x14ac:dyDescent="0.25">
      <c r="A201" s="83" t="s">
        <v>620</v>
      </c>
      <c r="B201" s="83" t="s">
        <v>621</v>
      </c>
    </row>
    <row r="202" spans="1:2" x14ac:dyDescent="0.25">
      <c r="A202" s="83" t="s">
        <v>622</v>
      </c>
      <c r="B202" s="83" t="s">
        <v>623</v>
      </c>
    </row>
    <row r="203" spans="1:2" x14ac:dyDescent="0.25">
      <c r="A203" s="83" t="s">
        <v>624</v>
      </c>
      <c r="B203" s="83" t="s">
        <v>625</v>
      </c>
    </row>
    <row r="204" spans="1:2" x14ac:dyDescent="0.25">
      <c r="A204" s="83" t="s">
        <v>626</v>
      </c>
      <c r="B204" s="83" t="s">
        <v>627</v>
      </c>
    </row>
    <row r="205" spans="1:2" x14ac:dyDescent="0.25">
      <c r="A205" s="83" t="s">
        <v>628</v>
      </c>
      <c r="B205" s="83" t="s">
        <v>629</v>
      </c>
    </row>
    <row r="206" spans="1:2" x14ac:dyDescent="0.25">
      <c r="A206" s="83" t="s">
        <v>630</v>
      </c>
      <c r="B206" s="83" t="s">
        <v>631</v>
      </c>
    </row>
    <row r="207" spans="1:2" x14ac:dyDescent="0.25">
      <c r="A207" s="83" t="s">
        <v>632</v>
      </c>
      <c r="B207" s="83" t="s">
        <v>633</v>
      </c>
    </row>
    <row r="208" spans="1:2" x14ac:dyDescent="0.25">
      <c r="A208" s="83" t="s">
        <v>634</v>
      </c>
      <c r="B208" s="83" t="s">
        <v>635</v>
      </c>
    </row>
    <row r="209" spans="1:2" x14ac:dyDescent="0.25">
      <c r="A209" s="83" t="s">
        <v>636</v>
      </c>
      <c r="B209" s="83" t="s">
        <v>637</v>
      </c>
    </row>
    <row r="210" spans="1:2" x14ac:dyDescent="0.25">
      <c r="A210" s="83" t="s">
        <v>638</v>
      </c>
      <c r="B210" s="83" t="s">
        <v>639</v>
      </c>
    </row>
    <row r="211" spans="1:2" x14ac:dyDescent="0.25">
      <c r="A211" s="83" t="s">
        <v>640</v>
      </c>
      <c r="B211" s="83" t="s">
        <v>641</v>
      </c>
    </row>
    <row r="212" spans="1:2" x14ac:dyDescent="0.25">
      <c r="A212" s="83" t="s">
        <v>642</v>
      </c>
      <c r="B212" s="83" t="s">
        <v>643</v>
      </c>
    </row>
    <row r="213" spans="1:2" x14ac:dyDescent="0.25">
      <c r="A213" s="83" t="s">
        <v>644</v>
      </c>
      <c r="B213" s="83" t="s">
        <v>645</v>
      </c>
    </row>
    <row r="214" spans="1:2" x14ac:dyDescent="0.25">
      <c r="A214" s="83" t="s">
        <v>646</v>
      </c>
      <c r="B214" s="83" t="s">
        <v>647</v>
      </c>
    </row>
    <row r="215" spans="1:2" x14ac:dyDescent="0.25">
      <c r="A215" s="83" t="s">
        <v>648</v>
      </c>
      <c r="B215" s="83" t="s">
        <v>649</v>
      </c>
    </row>
    <row r="216" spans="1:2" x14ac:dyDescent="0.25">
      <c r="A216" s="83" t="s">
        <v>650</v>
      </c>
      <c r="B216" s="83" t="s">
        <v>651</v>
      </c>
    </row>
    <row r="217" spans="1:2" x14ac:dyDescent="0.25">
      <c r="A217" s="83" t="s">
        <v>652</v>
      </c>
      <c r="B217" s="83" t="s">
        <v>653</v>
      </c>
    </row>
    <row r="218" spans="1:2" x14ac:dyDescent="0.25">
      <c r="A218" s="83" t="s">
        <v>1224</v>
      </c>
      <c r="B218" s="83" t="s">
        <v>1225</v>
      </c>
    </row>
    <row r="219" spans="1:2" x14ac:dyDescent="0.25">
      <c r="A219" s="83" t="s">
        <v>654</v>
      </c>
      <c r="B219" s="83" t="s">
        <v>655</v>
      </c>
    </row>
    <row r="220" spans="1:2" x14ac:dyDescent="0.25">
      <c r="A220" s="83" t="s">
        <v>656</v>
      </c>
      <c r="B220" s="83" t="s">
        <v>657</v>
      </c>
    </row>
    <row r="221" spans="1:2" x14ac:dyDescent="0.25">
      <c r="A221" s="83" t="s">
        <v>658</v>
      </c>
      <c r="B221" s="83" t="s">
        <v>659</v>
      </c>
    </row>
    <row r="222" spans="1:2" x14ac:dyDescent="0.25">
      <c r="A222" s="83" t="s">
        <v>660</v>
      </c>
      <c r="B222" s="83" t="s">
        <v>661</v>
      </c>
    </row>
    <row r="223" spans="1:2" x14ac:dyDescent="0.25">
      <c r="A223" s="83" t="s">
        <v>662</v>
      </c>
      <c r="B223" s="83" t="s">
        <v>663</v>
      </c>
    </row>
    <row r="224" spans="1:2" x14ac:dyDescent="0.25">
      <c r="A224" s="83" t="s">
        <v>664</v>
      </c>
      <c r="B224" s="83" t="s">
        <v>665</v>
      </c>
    </row>
    <row r="225" spans="1:2" x14ac:dyDescent="0.25">
      <c r="A225" s="83" t="s">
        <v>666</v>
      </c>
      <c r="B225" s="83" t="s">
        <v>667</v>
      </c>
    </row>
    <row r="226" spans="1:2" x14ac:dyDescent="0.25">
      <c r="A226" s="83" t="s">
        <v>668</v>
      </c>
      <c r="B226" s="83" t="s">
        <v>669</v>
      </c>
    </row>
    <row r="227" spans="1:2" x14ac:dyDescent="0.25">
      <c r="A227" s="83" t="s">
        <v>670</v>
      </c>
      <c r="B227" s="83" t="s">
        <v>671</v>
      </c>
    </row>
    <row r="228" spans="1:2" x14ac:dyDescent="0.25">
      <c r="A228" s="83" t="s">
        <v>672</v>
      </c>
      <c r="B228" s="83" t="s">
        <v>673</v>
      </c>
    </row>
    <row r="229" spans="1:2" x14ac:dyDescent="0.25">
      <c r="A229" s="83" t="s">
        <v>674</v>
      </c>
      <c r="B229" s="83" t="s">
        <v>675</v>
      </c>
    </row>
    <row r="230" spans="1:2" x14ac:dyDescent="0.25">
      <c r="A230" s="83" t="s">
        <v>676</v>
      </c>
      <c r="B230" s="83" t="s">
        <v>677</v>
      </c>
    </row>
    <row r="231" spans="1:2" x14ac:dyDescent="0.25">
      <c r="A231" s="83" t="s">
        <v>1226</v>
      </c>
      <c r="B231" s="83" t="s">
        <v>1227</v>
      </c>
    </row>
    <row r="232" spans="1:2" x14ac:dyDescent="0.25">
      <c r="A232" s="83" t="s">
        <v>1228</v>
      </c>
      <c r="B232" s="83" t="s">
        <v>1229</v>
      </c>
    </row>
    <row r="233" spans="1:2" x14ac:dyDescent="0.25">
      <c r="A233" s="83" t="s">
        <v>1230</v>
      </c>
      <c r="B233" s="83" t="s">
        <v>1231</v>
      </c>
    </row>
    <row r="234" spans="1:2" x14ac:dyDescent="0.25">
      <c r="A234" s="83" t="s">
        <v>678</v>
      </c>
      <c r="B234" s="83" t="s">
        <v>679</v>
      </c>
    </row>
    <row r="235" spans="1:2" x14ac:dyDescent="0.25">
      <c r="A235" s="83" t="s">
        <v>680</v>
      </c>
      <c r="B235" s="83" t="s">
        <v>681</v>
      </c>
    </row>
    <row r="236" spans="1:2" x14ac:dyDescent="0.25">
      <c r="A236" s="83" t="s">
        <v>682</v>
      </c>
      <c r="B236" s="83" t="s">
        <v>683</v>
      </c>
    </row>
    <row r="237" spans="1:2" x14ac:dyDescent="0.25">
      <c r="A237" s="83" t="s">
        <v>684</v>
      </c>
      <c r="B237" s="83" t="s">
        <v>684</v>
      </c>
    </row>
    <row r="238" spans="1:2" x14ac:dyDescent="0.25">
      <c r="A238" s="83" t="s">
        <v>685</v>
      </c>
      <c r="B238" s="83" t="s">
        <v>686</v>
      </c>
    </row>
    <row r="239" spans="1:2" x14ac:dyDescent="0.25">
      <c r="A239" s="83" t="s">
        <v>687</v>
      </c>
      <c r="B239" s="83" t="s">
        <v>688</v>
      </c>
    </row>
    <row r="240" spans="1:2" x14ac:dyDescent="0.25">
      <c r="A240" s="83" t="s">
        <v>689</v>
      </c>
      <c r="B240" s="83" t="s">
        <v>690</v>
      </c>
    </row>
    <row r="241" spans="1:2" x14ac:dyDescent="0.25">
      <c r="A241" s="83" t="s">
        <v>691</v>
      </c>
      <c r="B241" s="83" t="s">
        <v>692</v>
      </c>
    </row>
    <row r="242" spans="1:2" x14ac:dyDescent="0.25">
      <c r="A242" s="83" t="s">
        <v>693</v>
      </c>
      <c r="B242" s="83" t="s">
        <v>694</v>
      </c>
    </row>
    <row r="243" spans="1:2" x14ac:dyDescent="0.25">
      <c r="A243" s="83" t="s">
        <v>695</v>
      </c>
      <c r="B243" s="83" t="s">
        <v>696</v>
      </c>
    </row>
    <row r="244" spans="1:2" x14ac:dyDescent="0.25">
      <c r="A244" s="83" t="s">
        <v>697</v>
      </c>
      <c r="B244" s="83" t="s">
        <v>698</v>
      </c>
    </row>
    <row r="245" spans="1:2" x14ac:dyDescent="0.25">
      <c r="A245" s="83" t="s">
        <v>699</v>
      </c>
      <c r="B245" s="83" t="s">
        <v>700</v>
      </c>
    </row>
    <row r="246" spans="1:2" x14ac:dyDescent="0.25">
      <c r="A246" s="83" t="s">
        <v>701</v>
      </c>
      <c r="B246" s="83" t="s">
        <v>702</v>
      </c>
    </row>
    <row r="247" spans="1:2" x14ac:dyDescent="0.25">
      <c r="A247" s="83" t="s">
        <v>703</v>
      </c>
      <c r="B247" s="83" t="s">
        <v>704</v>
      </c>
    </row>
    <row r="248" spans="1:2" x14ac:dyDescent="0.25">
      <c r="A248" s="83" t="s">
        <v>705</v>
      </c>
      <c r="B248" s="83" t="s">
        <v>706</v>
      </c>
    </row>
    <row r="249" spans="1:2" x14ac:dyDescent="0.25">
      <c r="A249" s="83" t="s">
        <v>707</v>
      </c>
      <c r="B249" s="83" t="s">
        <v>708</v>
      </c>
    </row>
    <row r="250" spans="1:2" x14ac:dyDescent="0.25">
      <c r="A250" s="83" t="s">
        <v>709</v>
      </c>
      <c r="B250" s="83" t="s">
        <v>710</v>
      </c>
    </row>
    <row r="251" spans="1:2" x14ac:dyDescent="0.25">
      <c r="A251" s="83" t="s">
        <v>711</v>
      </c>
      <c r="B251" s="83" t="s">
        <v>712</v>
      </c>
    </row>
    <row r="252" spans="1:2" x14ac:dyDescent="0.25">
      <c r="A252" s="83" t="s">
        <v>713</v>
      </c>
      <c r="B252" s="83" t="s">
        <v>714</v>
      </c>
    </row>
    <row r="253" spans="1:2" x14ac:dyDescent="0.25">
      <c r="A253" s="83" t="s">
        <v>715</v>
      </c>
      <c r="B253" s="83" t="s">
        <v>716</v>
      </c>
    </row>
    <row r="254" spans="1:2" x14ac:dyDescent="0.25">
      <c r="A254" s="83" t="s">
        <v>717</v>
      </c>
      <c r="B254" s="83" t="s">
        <v>718</v>
      </c>
    </row>
    <row r="255" spans="1:2" x14ac:dyDescent="0.25">
      <c r="A255" s="83" t="s">
        <v>719</v>
      </c>
      <c r="B255" s="83" t="s">
        <v>720</v>
      </c>
    </row>
    <row r="256" spans="1:2" x14ac:dyDescent="0.25">
      <c r="A256" s="83" t="s">
        <v>721</v>
      </c>
      <c r="B256" s="83" t="s">
        <v>722</v>
      </c>
    </row>
    <row r="257" spans="1:2" x14ac:dyDescent="0.25">
      <c r="A257" s="83" t="s">
        <v>723</v>
      </c>
      <c r="B257" s="83" t="s">
        <v>724</v>
      </c>
    </row>
    <row r="258" spans="1:2" x14ac:dyDescent="0.25">
      <c r="A258" s="83" t="s">
        <v>725</v>
      </c>
      <c r="B258" s="83" t="s">
        <v>726</v>
      </c>
    </row>
    <row r="259" spans="1:2" x14ac:dyDescent="0.25">
      <c r="A259" s="83" t="s">
        <v>727</v>
      </c>
      <c r="B259" s="83" t="s">
        <v>728</v>
      </c>
    </row>
    <row r="260" spans="1:2" x14ac:dyDescent="0.25">
      <c r="A260" s="83" t="s">
        <v>729</v>
      </c>
      <c r="B260" s="83" t="s">
        <v>730</v>
      </c>
    </row>
    <row r="261" spans="1:2" x14ac:dyDescent="0.25">
      <c r="A261" s="83" t="s">
        <v>731</v>
      </c>
      <c r="B261" s="83" t="s">
        <v>732</v>
      </c>
    </row>
    <row r="262" spans="1:2" x14ac:dyDescent="0.25">
      <c r="A262" s="83" t="s">
        <v>733</v>
      </c>
      <c r="B262" s="83" t="s">
        <v>734</v>
      </c>
    </row>
    <row r="263" spans="1:2" x14ac:dyDescent="0.25">
      <c r="A263" s="83" t="s">
        <v>735</v>
      </c>
      <c r="B263" s="83" t="s">
        <v>736</v>
      </c>
    </row>
    <row r="264" spans="1:2" x14ac:dyDescent="0.25">
      <c r="A264" s="83" t="s">
        <v>737</v>
      </c>
      <c r="B264" s="83" t="s">
        <v>738</v>
      </c>
    </row>
    <row r="265" spans="1:2" x14ac:dyDescent="0.25">
      <c r="A265" s="83" t="s">
        <v>739</v>
      </c>
      <c r="B265" s="83" t="s">
        <v>740</v>
      </c>
    </row>
    <row r="266" spans="1:2" x14ac:dyDescent="0.25">
      <c r="A266" s="83" t="s">
        <v>741</v>
      </c>
      <c r="B266" s="83" t="s">
        <v>742</v>
      </c>
    </row>
    <row r="267" spans="1:2" x14ac:dyDescent="0.25">
      <c r="A267" s="83" t="s">
        <v>743</v>
      </c>
      <c r="B267" s="83" t="s">
        <v>744</v>
      </c>
    </row>
    <row r="268" spans="1:2" x14ac:dyDescent="0.25">
      <c r="A268" s="83" t="s">
        <v>745</v>
      </c>
      <c r="B268" s="83" t="s">
        <v>746</v>
      </c>
    </row>
    <row r="269" spans="1:2" x14ac:dyDescent="0.25">
      <c r="A269" s="83" t="s">
        <v>747</v>
      </c>
      <c r="B269" s="83" t="s">
        <v>748</v>
      </c>
    </row>
    <row r="270" spans="1:2" x14ac:dyDescent="0.25">
      <c r="A270" s="83" t="s">
        <v>749</v>
      </c>
      <c r="B270" s="83" t="s">
        <v>750</v>
      </c>
    </row>
    <row r="271" spans="1:2" x14ac:dyDescent="0.25">
      <c r="A271" s="83" t="s">
        <v>751</v>
      </c>
      <c r="B271" s="83" t="s">
        <v>752</v>
      </c>
    </row>
    <row r="272" spans="1:2" x14ac:dyDescent="0.25">
      <c r="A272" s="83" t="s">
        <v>753</v>
      </c>
      <c r="B272" s="83" t="s">
        <v>754</v>
      </c>
    </row>
    <row r="273" spans="1:2" x14ac:dyDescent="0.25">
      <c r="A273" s="83" t="s">
        <v>755</v>
      </c>
      <c r="B273" s="83" t="s">
        <v>756</v>
      </c>
    </row>
    <row r="274" spans="1:2" x14ac:dyDescent="0.25">
      <c r="A274" s="83" t="s">
        <v>757</v>
      </c>
      <c r="B274" s="83" t="s">
        <v>758</v>
      </c>
    </row>
    <row r="275" spans="1:2" x14ac:dyDescent="0.25">
      <c r="A275" s="83" t="s">
        <v>759</v>
      </c>
      <c r="B275" s="83" t="s">
        <v>760</v>
      </c>
    </row>
    <row r="276" spans="1:2" x14ac:dyDescent="0.25">
      <c r="A276" s="83" t="s">
        <v>761</v>
      </c>
      <c r="B276" s="83" t="s">
        <v>762</v>
      </c>
    </row>
    <row r="277" spans="1:2" x14ac:dyDescent="0.25">
      <c r="A277" s="83" t="s">
        <v>763</v>
      </c>
      <c r="B277" s="83" t="s">
        <v>764</v>
      </c>
    </row>
    <row r="278" spans="1:2" x14ac:dyDescent="0.25">
      <c r="A278" s="83" t="s">
        <v>765</v>
      </c>
      <c r="B278" s="83" t="s">
        <v>766</v>
      </c>
    </row>
    <row r="279" spans="1:2" x14ac:dyDescent="0.25">
      <c r="A279" s="83" t="s">
        <v>767</v>
      </c>
      <c r="B279" s="83" t="s">
        <v>768</v>
      </c>
    </row>
    <row r="280" spans="1:2" x14ac:dyDescent="0.25">
      <c r="A280" s="83" t="s">
        <v>769</v>
      </c>
      <c r="B280" s="83" t="s">
        <v>770</v>
      </c>
    </row>
    <row r="281" spans="1:2" x14ac:dyDescent="0.25">
      <c r="A281" s="83" t="s">
        <v>771</v>
      </c>
      <c r="B281" s="83" t="s">
        <v>772</v>
      </c>
    </row>
    <row r="282" spans="1:2" x14ac:dyDescent="0.25">
      <c r="A282" s="83" t="s">
        <v>773</v>
      </c>
      <c r="B282" s="83" t="s">
        <v>774</v>
      </c>
    </row>
    <row r="283" spans="1:2" x14ac:dyDescent="0.25">
      <c r="A283" s="83" t="s">
        <v>775</v>
      </c>
      <c r="B283" s="83" t="s">
        <v>776</v>
      </c>
    </row>
    <row r="284" spans="1:2" x14ac:dyDescent="0.25">
      <c r="A284" s="83" t="s">
        <v>777</v>
      </c>
      <c r="B284" s="83" t="s">
        <v>778</v>
      </c>
    </row>
    <row r="285" spans="1:2" x14ac:dyDescent="0.25">
      <c r="A285" s="83" t="s">
        <v>779</v>
      </c>
      <c r="B285" s="83" t="s">
        <v>780</v>
      </c>
    </row>
    <row r="286" spans="1:2" x14ac:dyDescent="0.25">
      <c r="A286" s="83" t="s">
        <v>781</v>
      </c>
      <c r="B286" s="83" t="s">
        <v>782</v>
      </c>
    </row>
    <row r="287" spans="1:2" x14ac:dyDescent="0.25">
      <c r="A287" s="83" t="s">
        <v>783</v>
      </c>
      <c r="B287" s="83" t="s">
        <v>784</v>
      </c>
    </row>
    <row r="288" spans="1:2" x14ac:dyDescent="0.25">
      <c r="A288" s="83" t="s">
        <v>785</v>
      </c>
      <c r="B288" s="83" t="s">
        <v>786</v>
      </c>
    </row>
    <row r="289" spans="1:2" x14ac:dyDescent="0.25">
      <c r="A289" s="83" t="s">
        <v>787</v>
      </c>
      <c r="B289" s="83" t="s">
        <v>788</v>
      </c>
    </row>
    <row r="290" spans="1:2" x14ac:dyDescent="0.25">
      <c r="A290" s="83" t="s">
        <v>789</v>
      </c>
      <c r="B290" s="83" t="s">
        <v>790</v>
      </c>
    </row>
    <row r="291" spans="1:2" x14ac:dyDescent="0.25">
      <c r="A291" s="83" t="s">
        <v>791</v>
      </c>
      <c r="B291" s="83" t="s">
        <v>792</v>
      </c>
    </row>
    <row r="292" spans="1:2" x14ac:dyDescent="0.25">
      <c r="A292" s="83" t="s">
        <v>793</v>
      </c>
      <c r="B292" s="83" t="s">
        <v>794</v>
      </c>
    </row>
    <row r="293" spans="1:2" x14ac:dyDescent="0.25">
      <c r="A293" s="83" t="s">
        <v>795</v>
      </c>
      <c r="B293" s="83" t="s">
        <v>796</v>
      </c>
    </row>
    <row r="294" spans="1:2" x14ac:dyDescent="0.25">
      <c r="A294" s="83" t="s">
        <v>797</v>
      </c>
      <c r="B294" s="83" t="s">
        <v>798</v>
      </c>
    </row>
    <row r="295" spans="1:2" x14ac:dyDescent="0.25">
      <c r="A295" s="83" t="s">
        <v>799</v>
      </c>
      <c r="B295" s="83" t="s">
        <v>800</v>
      </c>
    </row>
    <row r="296" spans="1:2" x14ac:dyDescent="0.25">
      <c r="A296" s="83" t="s">
        <v>801</v>
      </c>
      <c r="B296" s="83" t="s">
        <v>802</v>
      </c>
    </row>
    <row r="297" spans="1:2" x14ac:dyDescent="0.25">
      <c r="A297" s="83" t="s">
        <v>803</v>
      </c>
      <c r="B297" s="83" t="s">
        <v>804</v>
      </c>
    </row>
    <row r="298" spans="1:2" x14ac:dyDescent="0.25">
      <c r="A298" s="83" t="s">
        <v>805</v>
      </c>
      <c r="B298" s="83" t="s">
        <v>806</v>
      </c>
    </row>
    <row r="299" spans="1:2" x14ac:dyDescent="0.25">
      <c r="A299" s="83" t="s">
        <v>807</v>
      </c>
      <c r="B299" s="83" t="s">
        <v>808</v>
      </c>
    </row>
    <row r="300" spans="1:2" x14ac:dyDescent="0.25">
      <c r="A300" s="83" t="s">
        <v>809</v>
      </c>
      <c r="B300" s="83" t="s">
        <v>810</v>
      </c>
    </row>
    <row r="301" spans="1:2" x14ac:dyDescent="0.25">
      <c r="A301" s="83" t="s">
        <v>811</v>
      </c>
      <c r="B301" s="83" t="s">
        <v>812</v>
      </c>
    </row>
    <row r="302" spans="1:2" x14ac:dyDescent="0.25">
      <c r="A302" s="83" t="s">
        <v>1232</v>
      </c>
      <c r="B302" s="83" t="s">
        <v>1233</v>
      </c>
    </row>
    <row r="303" spans="1:2" x14ac:dyDescent="0.25">
      <c r="A303" s="83" t="s">
        <v>813</v>
      </c>
      <c r="B303" s="83" t="s">
        <v>814</v>
      </c>
    </row>
    <row r="304" spans="1:2" x14ac:dyDescent="0.25">
      <c r="A304" s="83" t="s">
        <v>815</v>
      </c>
      <c r="B304" s="83" t="s">
        <v>816</v>
      </c>
    </row>
    <row r="305" spans="1:2" x14ac:dyDescent="0.25">
      <c r="A305" s="83" t="s">
        <v>817</v>
      </c>
      <c r="B305" s="83" t="s">
        <v>818</v>
      </c>
    </row>
    <row r="306" spans="1:2" x14ac:dyDescent="0.25">
      <c r="A306" s="83" t="s">
        <v>819</v>
      </c>
      <c r="B306" s="83" t="s">
        <v>820</v>
      </c>
    </row>
    <row r="307" spans="1:2" x14ac:dyDescent="0.25">
      <c r="A307" s="83" t="s">
        <v>821</v>
      </c>
      <c r="B307" s="83" t="s">
        <v>822</v>
      </c>
    </row>
    <row r="308" spans="1:2" x14ac:dyDescent="0.25">
      <c r="A308" s="83" t="s">
        <v>823</v>
      </c>
      <c r="B308" s="83" t="s">
        <v>824</v>
      </c>
    </row>
    <row r="309" spans="1:2" x14ac:dyDescent="0.25">
      <c r="A309" s="83" t="s">
        <v>825</v>
      </c>
      <c r="B309" s="83" t="s">
        <v>826</v>
      </c>
    </row>
    <row r="310" spans="1:2" x14ac:dyDescent="0.25">
      <c r="A310" s="83" t="s">
        <v>827</v>
      </c>
      <c r="B310" s="83" t="s">
        <v>828</v>
      </c>
    </row>
    <row r="311" spans="1:2" x14ac:dyDescent="0.25">
      <c r="A311" s="83" t="s">
        <v>829</v>
      </c>
      <c r="B311" s="83" t="s">
        <v>830</v>
      </c>
    </row>
    <row r="312" spans="1:2" x14ac:dyDescent="0.25">
      <c r="A312" s="83" t="s">
        <v>831</v>
      </c>
      <c r="B312" s="83" t="s">
        <v>832</v>
      </c>
    </row>
    <row r="313" spans="1:2" x14ac:dyDescent="0.25">
      <c r="A313" s="83" t="s">
        <v>833</v>
      </c>
      <c r="B313" s="83" t="s">
        <v>834</v>
      </c>
    </row>
    <row r="314" spans="1:2" x14ac:dyDescent="0.25">
      <c r="A314" s="83" t="s">
        <v>835</v>
      </c>
      <c r="B314" s="83" t="s">
        <v>836</v>
      </c>
    </row>
    <row r="315" spans="1:2" x14ac:dyDescent="0.25">
      <c r="A315" s="83" t="s">
        <v>837</v>
      </c>
      <c r="B315" s="83" t="s">
        <v>838</v>
      </c>
    </row>
    <row r="316" spans="1:2" x14ac:dyDescent="0.25">
      <c r="A316" s="83" t="s">
        <v>839</v>
      </c>
      <c r="B316" s="83" t="s">
        <v>840</v>
      </c>
    </row>
    <row r="317" spans="1:2" x14ac:dyDescent="0.25">
      <c r="A317" s="83" t="s">
        <v>841</v>
      </c>
      <c r="B317" s="83" t="s">
        <v>842</v>
      </c>
    </row>
    <row r="318" spans="1:2" x14ac:dyDescent="0.25">
      <c r="A318" s="83" t="s">
        <v>843</v>
      </c>
      <c r="B318" s="83" t="s">
        <v>844</v>
      </c>
    </row>
    <row r="319" spans="1:2" x14ac:dyDescent="0.25">
      <c r="A319" s="83" t="s">
        <v>845</v>
      </c>
      <c r="B319" s="83" t="s">
        <v>846</v>
      </c>
    </row>
    <row r="320" spans="1:2" x14ac:dyDescent="0.25">
      <c r="A320" s="83" t="s">
        <v>847</v>
      </c>
      <c r="B320" s="83" t="s">
        <v>848</v>
      </c>
    </row>
    <row r="321" spans="1:2" x14ac:dyDescent="0.25">
      <c r="A321" s="83" t="s">
        <v>849</v>
      </c>
      <c r="B321" s="83" t="s">
        <v>850</v>
      </c>
    </row>
    <row r="322" spans="1:2" x14ac:dyDescent="0.25">
      <c r="A322" s="83" t="s">
        <v>851</v>
      </c>
      <c r="B322" s="83" t="s">
        <v>852</v>
      </c>
    </row>
    <row r="323" spans="1:2" x14ac:dyDescent="0.25">
      <c r="A323" s="83" t="s">
        <v>853</v>
      </c>
      <c r="B323" s="83" t="s">
        <v>854</v>
      </c>
    </row>
    <row r="324" spans="1:2" x14ac:dyDescent="0.25">
      <c r="A324" s="83" t="s">
        <v>855</v>
      </c>
      <c r="B324" s="83" t="s">
        <v>856</v>
      </c>
    </row>
    <row r="325" spans="1:2" x14ac:dyDescent="0.25">
      <c r="A325" s="83" t="s">
        <v>857</v>
      </c>
      <c r="B325" s="83" t="s">
        <v>858</v>
      </c>
    </row>
    <row r="326" spans="1:2" x14ac:dyDescent="0.25">
      <c r="A326" s="83" t="s">
        <v>859</v>
      </c>
      <c r="B326" s="83" t="s">
        <v>860</v>
      </c>
    </row>
    <row r="327" spans="1:2" x14ac:dyDescent="0.25">
      <c r="A327" s="83" t="s">
        <v>861</v>
      </c>
      <c r="B327" s="83" t="s">
        <v>862</v>
      </c>
    </row>
    <row r="328" spans="1:2" x14ac:dyDescent="0.25">
      <c r="A328" s="83" t="s">
        <v>863</v>
      </c>
      <c r="B328" s="83" t="s">
        <v>864</v>
      </c>
    </row>
    <row r="329" spans="1:2" x14ac:dyDescent="0.25">
      <c r="A329" s="83" t="s">
        <v>865</v>
      </c>
      <c r="B329" s="83" t="s">
        <v>866</v>
      </c>
    </row>
    <row r="330" spans="1:2" x14ac:dyDescent="0.25">
      <c r="A330" s="83" t="s">
        <v>867</v>
      </c>
      <c r="B330" s="83" t="s">
        <v>868</v>
      </c>
    </row>
    <row r="331" spans="1:2" x14ac:dyDescent="0.25">
      <c r="A331" s="83" t="s">
        <v>869</v>
      </c>
      <c r="B331" s="83" t="s">
        <v>870</v>
      </c>
    </row>
    <row r="332" spans="1:2" x14ac:dyDescent="0.25">
      <c r="A332" s="83" t="s">
        <v>871</v>
      </c>
      <c r="B332" s="83" t="s">
        <v>872</v>
      </c>
    </row>
    <row r="333" spans="1:2" x14ac:dyDescent="0.25">
      <c r="A333" s="83" t="s">
        <v>873</v>
      </c>
      <c r="B333" s="83" t="s">
        <v>874</v>
      </c>
    </row>
    <row r="334" spans="1:2" x14ac:dyDescent="0.25">
      <c r="A334" s="83" t="s">
        <v>875</v>
      </c>
      <c r="B334" s="83" t="s">
        <v>876</v>
      </c>
    </row>
    <row r="335" spans="1:2" x14ac:dyDescent="0.25">
      <c r="A335" s="83" t="s">
        <v>877</v>
      </c>
      <c r="B335" s="83" t="s">
        <v>878</v>
      </c>
    </row>
    <row r="336" spans="1:2" x14ac:dyDescent="0.25">
      <c r="A336" s="83" t="s">
        <v>879</v>
      </c>
      <c r="B336" s="83" t="s">
        <v>880</v>
      </c>
    </row>
    <row r="337" spans="1:2" x14ac:dyDescent="0.25">
      <c r="A337" s="83" t="s">
        <v>881</v>
      </c>
      <c r="B337" s="83" t="s">
        <v>882</v>
      </c>
    </row>
    <row r="338" spans="1:2" x14ac:dyDescent="0.25">
      <c r="A338" s="83" t="s">
        <v>883</v>
      </c>
      <c r="B338" s="83" t="s">
        <v>884</v>
      </c>
    </row>
    <row r="339" spans="1:2" x14ac:dyDescent="0.25">
      <c r="A339" s="83" t="s">
        <v>885</v>
      </c>
      <c r="B339" s="83" t="s">
        <v>886</v>
      </c>
    </row>
    <row r="340" spans="1:2" x14ac:dyDescent="0.25">
      <c r="A340" s="83" t="s">
        <v>887</v>
      </c>
      <c r="B340" s="83" t="s">
        <v>888</v>
      </c>
    </row>
    <row r="341" spans="1:2" x14ac:dyDescent="0.25">
      <c r="A341" s="83" t="s">
        <v>889</v>
      </c>
      <c r="B341" s="83" t="s">
        <v>890</v>
      </c>
    </row>
    <row r="342" spans="1:2" x14ac:dyDescent="0.25">
      <c r="A342" s="83" t="s">
        <v>891</v>
      </c>
      <c r="B342" s="83" t="s">
        <v>892</v>
      </c>
    </row>
    <row r="343" spans="1:2" x14ac:dyDescent="0.25">
      <c r="A343" s="83" t="s">
        <v>893</v>
      </c>
      <c r="B343" s="83" t="s">
        <v>894</v>
      </c>
    </row>
    <row r="344" spans="1:2" x14ac:dyDescent="0.25">
      <c r="A344" s="83" t="s">
        <v>895</v>
      </c>
      <c r="B344" s="83" t="s">
        <v>896</v>
      </c>
    </row>
    <row r="345" spans="1:2" x14ac:dyDescent="0.25">
      <c r="A345" s="83" t="s">
        <v>897</v>
      </c>
      <c r="B345" s="83" t="s">
        <v>897</v>
      </c>
    </row>
    <row r="346" spans="1:2" x14ac:dyDescent="0.25">
      <c r="A346" s="83" t="s">
        <v>898</v>
      </c>
      <c r="B346" s="83" t="s">
        <v>899</v>
      </c>
    </row>
    <row r="347" spans="1:2" x14ac:dyDescent="0.25">
      <c r="A347" s="83" t="s">
        <v>900</v>
      </c>
      <c r="B347" s="83" t="s">
        <v>901</v>
      </c>
    </row>
    <row r="348" spans="1:2" x14ac:dyDescent="0.25">
      <c r="A348" s="83" t="s">
        <v>902</v>
      </c>
      <c r="B348" s="83" t="s">
        <v>903</v>
      </c>
    </row>
    <row r="349" spans="1:2" x14ac:dyDescent="0.25">
      <c r="A349" s="83" t="s">
        <v>904</v>
      </c>
      <c r="B349" s="83" t="s">
        <v>483</v>
      </c>
    </row>
    <row r="350" spans="1:2" x14ac:dyDescent="0.25">
      <c r="A350" s="83" t="s">
        <v>905</v>
      </c>
      <c r="B350" s="83" t="s">
        <v>906</v>
      </c>
    </row>
    <row r="351" spans="1:2" x14ac:dyDescent="0.25">
      <c r="A351" s="83" t="s">
        <v>907</v>
      </c>
      <c r="B351" s="83" t="s">
        <v>908</v>
      </c>
    </row>
    <row r="352" spans="1:2" x14ac:dyDescent="0.25">
      <c r="A352" s="83" t="s">
        <v>909</v>
      </c>
      <c r="B352" s="83" t="s">
        <v>910</v>
      </c>
    </row>
    <row r="353" spans="1:2" x14ac:dyDescent="0.25">
      <c r="A353" s="83" t="s">
        <v>911</v>
      </c>
      <c r="B353" s="83" t="s">
        <v>912</v>
      </c>
    </row>
    <row r="354" spans="1:2" x14ac:dyDescent="0.25">
      <c r="A354" s="83" t="s">
        <v>913</v>
      </c>
      <c r="B354" s="83" t="s">
        <v>914</v>
      </c>
    </row>
    <row r="355" spans="1:2" x14ac:dyDescent="0.25">
      <c r="A355" s="83" t="s">
        <v>915</v>
      </c>
      <c r="B355" s="83" t="s">
        <v>916</v>
      </c>
    </row>
    <row r="356" spans="1:2" x14ac:dyDescent="0.25">
      <c r="A356" s="83" t="s">
        <v>917</v>
      </c>
      <c r="B356" s="83" t="s">
        <v>918</v>
      </c>
    </row>
    <row r="357" spans="1:2" x14ac:dyDescent="0.25">
      <c r="A357" s="83" t="s">
        <v>919</v>
      </c>
      <c r="B357" s="83" t="s">
        <v>920</v>
      </c>
    </row>
    <row r="358" spans="1:2" x14ac:dyDescent="0.25">
      <c r="A358" s="83" t="s">
        <v>921</v>
      </c>
      <c r="B358" s="83" t="s">
        <v>922</v>
      </c>
    </row>
    <row r="359" spans="1:2" x14ac:dyDescent="0.25">
      <c r="A359" s="83" t="s">
        <v>923</v>
      </c>
      <c r="B359" s="83" t="s">
        <v>924</v>
      </c>
    </row>
    <row r="360" spans="1:2" x14ac:dyDescent="0.25">
      <c r="A360" s="83" t="s">
        <v>925</v>
      </c>
      <c r="B360" s="83" t="s">
        <v>926</v>
      </c>
    </row>
    <row r="361" spans="1:2" x14ac:dyDescent="0.25">
      <c r="A361" s="83" t="s">
        <v>927</v>
      </c>
      <c r="B361" s="83" t="s">
        <v>928</v>
      </c>
    </row>
    <row r="362" spans="1:2" x14ac:dyDescent="0.25">
      <c r="A362" s="83" t="s">
        <v>929</v>
      </c>
      <c r="B362" s="83" t="s">
        <v>930</v>
      </c>
    </row>
    <row r="363" spans="1:2" x14ac:dyDescent="0.25">
      <c r="A363" s="83" t="s">
        <v>931</v>
      </c>
      <c r="B363" s="83" t="s">
        <v>932</v>
      </c>
    </row>
    <row r="364" spans="1:2" x14ac:dyDescent="0.25">
      <c r="A364" s="83" t="s">
        <v>933</v>
      </c>
      <c r="B364" s="83" t="s">
        <v>934</v>
      </c>
    </row>
    <row r="365" spans="1:2" x14ac:dyDescent="0.25">
      <c r="A365" s="83" t="s">
        <v>935</v>
      </c>
      <c r="B365" s="83" t="s">
        <v>936</v>
      </c>
    </row>
    <row r="366" spans="1:2" x14ac:dyDescent="0.25">
      <c r="A366" s="83" t="s">
        <v>937</v>
      </c>
      <c r="B366" s="83" t="s">
        <v>938</v>
      </c>
    </row>
    <row r="367" spans="1:2" x14ac:dyDescent="0.25">
      <c r="A367" s="83" t="s">
        <v>939</v>
      </c>
      <c r="B367" s="83" t="s">
        <v>940</v>
      </c>
    </row>
    <row r="368" spans="1:2" x14ac:dyDescent="0.25">
      <c r="A368" s="83" t="s">
        <v>941</v>
      </c>
      <c r="B368" s="83" t="s">
        <v>942</v>
      </c>
    </row>
    <row r="369" spans="1:2" x14ac:dyDescent="0.25">
      <c r="A369" s="83" t="s">
        <v>943</v>
      </c>
      <c r="B369" s="83" t="s">
        <v>944</v>
      </c>
    </row>
    <row r="370" spans="1:2" x14ac:dyDescent="0.25">
      <c r="A370" s="83" t="s">
        <v>945</v>
      </c>
      <c r="B370" s="83" t="s">
        <v>946</v>
      </c>
    </row>
    <row r="371" spans="1:2" x14ac:dyDescent="0.25">
      <c r="A371" s="83" t="s">
        <v>947</v>
      </c>
      <c r="B371" s="83" t="s">
        <v>948</v>
      </c>
    </row>
    <row r="372" spans="1:2" x14ac:dyDescent="0.25">
      <c r="A372" s="83" t="s">
        <v>949</v>
      </c>
      <c r="B372" s="83" t="s">
        <v>950</v>
      </c>
    </row>
    <row r="373" spans="1:2" x14ac:dyDescent="0.25">
      <c r="A373" s="83" t="s">
        <v>951</v>
      </c>
      <c r="B373" s="83" t="s">
        <v>952</v>
      </c>
    </row>
    <row r="374" spans="1:2" x14ac:dyDescent="0.25">
      <c r="A374" s="83" t="s">
        <v>953</v>
      </c>
      <c r="B374" s="83" t="s">
        <v>954</v>
      </c>
    </row>
    <row r="375" spans="1:2" x14ac:dyDescent="0.25">
      <c r="A375" s="83" t="s">
        <v>955</v>
      </c>
      <c r="B375" s="83" t="s">
        <v>956</v>
      </c>
    </row>
    <row r="376" spans="1:2" x14ac:dyDescent="0.25">
      <c r="A376" s="83" t="s">
        <v>957</v>
      </c>
      <c r="B376" s="83" t="s">
        <v>958</v>
      </c>
    </row>
    <row r="377" spans="1:2" x14ac:dyDescent="0.25">
      <c r="A377" s="83" t="s">
        <v>959</v>
      </c>
      <c r="B377" s="83" t="s">
        <v>960</v>
      </c>
    </row>
    <row r="378" spans="1:2" x14ac:dyDescent="0.25">
      <c r="A378" s="83" t="s">
        <v>961</v>
      </c>
      <c r="B378" s="83" t="s">
        <v>962</v>
      </c>
    </row>
    <row r="379" spans="1:2" x14ac:dyDescent="0.25">
      <c r="A379" s="83" t="s">
        <v>963</v>
      </c>
      <c r="B379" s="83" t="s">
        <v>964</v>
      </c>
    </row>
    <row r="380" spans="1:2" x14ac:dyDescent="0.25">
      <c r="A380" s="83" t="s">
        <v>610</v>
      </c>
      <c r="B380" s="83" t="s">
        <v>611</v>
      </c>
    </row>
    <row r="381" spans="1:2" x14ac:dyDescent="0.25">
      <c r="A381" s="83" t="s">
        <v>965</v>
      </c>
      <c r="B381" s="83" t="s">
        <v>966</v>
      </c>
    </row>
    <row r="382" spans="1:2" x14ac:dyDescent="0.25">
      <c r="A382" s="83" t="s">
        <v>511</v>
      </c>
      <c r="B382" s="83" t="s">
        <v>512</v>
      </c>
    </row>
    <row r="383" spans="1:2" x14ac:dyDescent="0.25">
      <c r="A383" s="83" t="s">
        <v>967</v>
      </c>
      <c r="B383" s="83" t="s">
        <v>968</v>
      </c>
    </row>
    <row r="384" spans="1:2" x14ac:dyDescent="0.25">
      <c r="A384" s="83" t="s">
        <v>969</v>
      </c>
      <c r="B384" s="83" t="s">
        <v>970</v>
      </c>
    </row>
    <row r="385" spans="1:2" x14ac:dyDescent="0.25">
      <c r="A385" s="83" t="s">
        <v>971</v>
      </c>
      <c r="B385" s="83" t="s">
        <v>972</v>
      </c>
    </row>
    <row r="386" spans="1:2" x14ac:dyDescent="0.25">
      <c r="A386" s="83" t="s">
        <v>973</v>
      </c>
      <c r="B386" s="83" t="s">
        <v>974</v>
      </c>
    </row>
    <row r="387" spans="1:2" x14ac:dyDescent="0.25">
      <c r="A387" s="83" t="s">
        <v>975</v>
      </c>
      <c r="B387" s="83" t="s">
        <v>976</v>
      </c>
    </row>
    <row r="388" spans="1:2" x14ac:dyDescent="0.25">
      <c r="A388" s="83" t="s">
        <v>977</v>
      </c>
      <c r="B388" s="83" t="s">
        <v>978</v>
      </c>
    </row>
    <row r="389" spans="1:2" x14ac:dyDescent="0.25">
      <c r="A389" s="83" t="s">
        <v>979</v>
      </c>
      <c r="B389" s="83" t="s">
        <v>980</v>
      </c>
    </row>
    <row r="390" spans="1:2" x14ac:dyDescent="0.25">
      <c r="A390" s="83" t="s">
        <v>981</v>
      </c>
      <c r="B390" s="83" t="s">
        <v>982</v>
      </c>
    </row>
    <row r="391" spans="1:2" x14ac:dyDescent="0.25">
      <c r="A391" s="83" t="s">
        <v>983</v>
      </c>
      <c r="B391" s="83" t="s">
        <v>984</v>
      </c>
    </row>
    <row r="392" spans="1:2" x14ac:dyDescent="0.25">
      <c r="A392" s="83" t="s">
        <v>985</v>
      </c>
      <c r="B392" s="83" t="s">
        <v>986</v>
      </c>
    </row>
    <row r="393" spans="1:2" x14ac:dyDescent="0.25">
      <c r="A393" s="83" t="s">
        <v>987</v>
      </c>
      <c r="B393" s="83" t="s">
        <v>988</v>
      </c>
    </row>
    <row r="394" spans="1:2" x14ac:dyDescent="0.25">
      <c r="A394" s="83" t="s">
        <v>989</v>
      </c>
      <c r="B394" s="83" t="s">
        <v>990</v>
      </c>
    </row>
    <row r="395" spans="1:2" x14ac:dyDescent="0.25">
      <c r="A395" s="83" t="s">
        <v>991</v>
      </c>
      <c r="B395" s="83" t="s">
        <v>992</v>
      </c>
    </row>
    <row r="396" spans="1:2" x14ac:dyDescent="0.25">
      <c r="A396" s="83" t="s">
        <v>993</v>
      </c>
      <c r="B396" s="83" t="s">
        <v>994</v>
      </c>
    </row>
    <row r="397" spans="1:2" x14ac:dyDescent="0.25">
      <c r="A397" s="83" t="s">
        <v>672</v>
      </c>
      <c r="B397" s="83" t="s">
        <v>673</v>
      </c>
    </row>
    <row r="398" spans="1:2" x14ac:dyDescent="0.25">
      <c r="A398" s="83" t="s">
        <v>995</v>
      </c>
      <c r="B398" s="83" t="s">
        <v>996</v>
      </c>
    </row>
    <row r="399" spans="1:2" x14ac:dyDescent="0.25">
      <c r="A399" s="83" t="s">
        <v>997</v>
      </c>
      <c r="B399" s="83" t="s">
        <v>998</v>
      </c>
    </row>
    <row r="400" spans="1:2" x14ac:dyDescent="0.25">
      <c r="A400" s="83" t="s">
        <v>999</v>
      </c>
      <c r="B400" s="83" t="s">
        <v>1000</v>
      </c>
    </row>
    <row r="401" spans="1:2" x14ac:dyDescent="0.25">
      <c r="A401" s="83" t="s">
        <v>1001</v>
      </c>
      <c r="B401" s="83" t="s">
        <v>1002</v>
      </c>
    </row>
    <row r="402" spans="1:2" x14ac:dyDescent="0.25">
      <c r="A402" s="83" t="s">
        <v>1003</v>
      </c>
      <c r="B402" s="83" t="s">
        <v>1004</v>
      </c>
    </row>
    <row r="403" spans="1:2" x14ac:dyDescent="0.25">
      <c r="A403" s="83" t="s">
        <v>1007</v>
      </c>
      <c r="B403" s="83" t="s">
        <v>1008</v>
      </c>
    </row>
    <row r="404" spans="1:2" x14ac:dyDescent="0.25">
      <c r="A404" s="83" t="s">
        <v>1009</v>
      </c>
      <c r="B404" s="83" t="s">
        <v>1010</v>
      </c>
    </row>
    <row r="405" spans="1:2" x14ac:dyDescent="0.25">
      <c r="A405" s="83" t="s">
        <v>1011</v>
      </c>
      <c r="B405" s="83" t="s">
        <v>1012</v>
      </c>
    </row>
    <row r="406" spans="1:2" x14ac:dyDescent="0.25">
      <c r="A406" s="83" t="s">
        <v>1013</v>
      </c>
      <c r="B406" s="83" t="s">
        <v>1014</v>
      </c>
    </row>
    <row r="407" spans="1:2" x14ac:dyDescent="0.25">
      <c r="A407" s="83" t="s">
        <v>1015</v>
      </c>
      <c r="B407" s="83" t="s">
        <v>1016</v>
      </c>
    </row>
    <row r="408" spans="1:2" x14ac:dyDescent="0.25">
      <c r="A408" s="83" t="s">
        <v>1017</v>
      </c>
      <c r="B408" s="83" t="s">
        <v>1018</v>
      </c>
    </row>
    <row r="409" spans="1:2" x14ac:dyDescent="0.25">
      <c r="A409" s="83" t="s">
        <v>1019</v>
      </c>
      <c r="B409" s="83" t="s">
        <v>1020</v>
      </c>
    </row>
    <row r="410" spans="1:2" x14ac:dyDescent="0.25">
      <c r="A410" s="83" t="s">
        <v>1021</v>
      </c>
      <c r="B410" s="83" t="s">
        <v>1022</v>
      </c>
    </row>
    <row r="411" spans="1:2" x14ac:dyDescent="0.25">
      <c r="A411" s="83" t="s">
        <v>1023</v>
      </c>
      <c r="B411" s="83" t="s">
        <v>1024</v>
      </c>
    </row>
    <row r="412" spans="1:2" x14ac:dyDescent="0.25">
      <c r="A412" s="83" t="s">
        <v>1025</v>
      </c>
      <c r="B412" s="83" t="s">
        <v>1026</v>
      </c>
    </row>
    <row r="413" spans="1:2" x14ac:dyDescent="0.25">
      <c r="A413" s="83" t="s">
        <v>1027</v>
      </c>
      <c r="B413" s="83" t="s">
        <v>1028</v>
      </c>
    </row>
    <row r="414" spans="1:2" x14ac:dyDescent="0.25">
      <c r="A414" s="83" t="s">
        <v>1029</v>
      </c>
      <c r="B414" s="83" t="s">
        <v>1030</v>
      </c>
    </row>
    <row r="415" spans="1:2" x14ac:dyDescent="0.25">
      <c r="A415" s="83" t="s">
        <v>1031</v>
      </c>
      <c r="B415" s="83" t="s">
        <v>1032</v>
      </c>
    </row>
    <row r="416" spans="1:2" x14ac:dyDescent="0.25">
      <c r="A416" s="83" t="s">
        <v>1033</v>
      </c>
      <c r="B416" s="83" t="s">
        <v>1034</v>
      </c>
    </row>
    <row r="417" spans="1:2" x14ac:dyDescent="0.25">
      <c r="A417" s="83" t="s">
        <v>365</v>
      </c>
      <c r="B417" s="83" t="s">
        <v>366</v>
      </c>
    </row>
    <row r="418" spans="1:2" x14ac:dyDescent="0.25">
      <c r="A418" s="83" t="s">
        <v>1035</v>
      </c>
      <c r="B418" s="83" t="s">
        <v>1036</v>
      </c>
    </row>
    <row r="419" spans="1:2" x14ac:dyDescent="0.25">
      <c r="A419" s="83" t="s">
        <v>1037</v>
      </c>
      <c r="B419" s="83" t="s">
        <v>1038</v>
      </c>
    </row>
    <row r="420" spans="1:2" x14ac:dyDescent="0.25">
      <c r="A420" s="83" t="s">
        <v>1039</v>
      </c>
      <c r="B420" s="83" t="s">
        <v>1040</v>
      </c>
    </row>
    <row r="421" spans="1:2" x14ac:dyDescent="0.25">
      <c r="A421" s="83" t="s">
        <v>1041</v>
      </c>
      <c r="B421" s="83" t="s">
        <v>1042</v>
      </c>
    </row>
    <row r="422" spans="1:2" x14ac:dyDescent="0.25">
      <c r="A422" s="83" t="s">
        <v>1043</v>
      </c>
      <c r="B422" s="83" t="s">
        <v>1044</v>
      </c>
    </row>
    <row r="423" spans="1:2" x14ac:dyDescent="0.25">
      <c r="A423" s="83" t="s">
        <v>1045</v>
      </c>
      <c r="B423" s="83" t="s">
        <v>1046</v>
      </c>
    </row>
    <row r="424" spans="1:2" x14ac:dyDescent="0.25">
      <c r="A424" s="83" t="s">
        <v>1047</v>
      </c>
      <c r="B424" s="83" t="s">
        <v>1048</v>
      </c>
    </row>
    <row r="425" spans="1:2" x14ac:dyDescent="0.25">
      <c r="A425" s="83" t="s">
        <v>1234</v>
      </c>
      <c r="B425" s="83" t="s">
        <v>1049</v>
      </c>
    </row>
    <row r="426" spans="1:2" x14ac:dyDescent="0.25">
      <c r="A426" s="83" t="s">
        <v>1050</v>
      </c>
      <c r="B426" s="83" t="s">
        <v>1051</v>
      </c>
    </row>
    <row r="427" spans="1:2" x14ac:dyDescent="0.25">
      <c r="A427" s="83" t="s">
        <v>1052</v>
      </c>
      <c r="B427" s="83" t="s">
        <v>1053</v>
      </c>
    </row>
    <row r="428" spans="1:2" x14ac:dyDescent="0.25">
      <c r="A428" s="83" t="s">
        <v>1054</v>
      </c>
      <c r="B428" s="83" t="s">
        <v>1055</v>
      </c>
    </row>
    <row r="429" spans="1:2" x14ac:dyDescent="0.25">
      <c r="A429" s="83" t="s">
        <v>1056</v>
      </c>
      <c r="B429" s="83" t="s">
        <v>1057</v>
      </c>
    </row>
    <row r="430" spans="1:2" x14ac:dyDescent="0.25">
      <c r="A430" s="83" t="s">
        <v>1058</v>
      </c>
      <c r="B430" s="83" t="s">
        <v>1059</v>
      </c>
    </row>
    <row r="431" spans="1:2" x14ac:dyDescent="0.25">
      <c r="A431" s="83" t="s">
        <v>1060</v>
      </c>
      <c r="B431" s="83" t="s">
        <v>1061</v>
      </c>
    </row>
    <row r="432" spans="1:2" x14ac:dyDescent="0.25">
      <c r="A432" s="83" t="s">
        <v>1062</v>
      </c>
      <c r="B432" s="83" t="s">
        <v>1063</v>
      </c>
    </row>
    <row r="433" spans="1:2" x14ac:dyDescent="0.25">
      <c r="A433" s="83" t="s">
        <v>1064</v>
      </c>
      <c r="B433" s="83" t="s">
        <v>1065</v>
      </c>
    </row>
    <row r="434" spans="1:2" x14ac:dyDescent="0.25">
      <c r="A434" s="83" t="s">
        <v>1066</v>
      </c>
      <c r="B434" s="83" t="s">
        <v>1067</v>
      </c>
    </row>
    <row r="435" spans="1:2" x14ac:dyDescent="0.25">
      <c r="A435" s="83" t="s">
        <v>1068</v>
      </c>
      <c r="B435" s="83" t="s">
        <v>1069</v>
      </c>
    </row>
    <row r="436" spans="1:2" x14ac:dyDescent="0.25">
      <c r="A436" s="83" t="s">
        <v>1070</v>
      </c>
      <c r="B436" s="83" t="s">
        <v>1071</v>
      </c>
    </row>
    <row r="437" spans="1:2" x14ac:dyDescent="0.25">
      <c r="A437" s="83" t="s">
        <v>1072</v>
      </c>
      <c r="B437" s="83" t="s">
        <v>1073</v>
      </c>
    </row>
    <row r="438" spans="1:2" x14ac:dyDescent="0.25">
      <c r="A438" s="83" t="s">
        <v>1074</v>
      </c>
      <c r="B438" s="83" t="s">
        <v>1075</v>
      </c>
    </row>
    <row r="439" spans="1:2" x14ac:dyDescent="0.25">
      <c r="A439" s="83" t="s">
        <v>1076</v>
      </c>
      <c r="B439" s="83" t="s">
        <v>1077</v>
      </c>
    </row>
    <row r="440" spans="1:2" x14ac:dyDescent="0.25">
      <c r="A440" s="83" t="s">
        <v>1078</v>
      </c>
      <c r="B440" s="83" t="s">
        <v>1079</v>
      </c>
    </row>
    <row r="441" spans="1:2" x14ac:dyDescent="0.25">
      <c r="A441" s="83" t="s">
        <v>1080</v>
      </c>
      <c r="B441" s="83" t="s">
        <v>1081</v>
      </c>
    </row>
    <row r="442" spans="1:2" x14ac:dyDescent="0.25">
      <c r="A442" s="83" t="s">
        <v>1082</v>
      </c>
      <c r="B442" s="83" t="s">
        <v>1083</v>
      </c>
    </row>
    <row r="443" spans="1:2" x14ac:dyDescent="0.25">
      <c r="A443" s="83" t="s">
        <v>1084</v>
      </c>
      <c r="B443" s="83" t="s">
        <v>1085</v>
      </c>
    </row>
    <row r="444" spans="1:2" x14ac:dyDescent="0.25">
      <c r="A444" s="83" t="s">
        <v>1086</v>
      </c>
      <c r="B444" s="83" t="s">
        <v>1087</v>
      </c>
    </row>
    <row r="445" spans="1:2" x14ac:dyDescent="0.25">
      <c r="A445" s="83" t="s">
        <v>1088</v>
      </c>
      <c r="B445" s="83" t="s">
        <v>1089</v>
      </c>
    </row>
    <row r="446" spans="1:2" x14ac:dyDescent="0.25">
      <c r="A446" s="83" t="s">
        <v>1090</v>
      </c>
      <c r="B446" s="83" t="s">
        <v>1091</v>
      </c>
    </row>
    <row r="447" spans="1:2" x14ac:dyDescent="0.25">
      <c r="A447" s="83" t="s">
        <v>1092</v>
      </c>
      <c r="B447" s="83" t="s">
        <v>1093</v>
      </c>
    </row>
    <row r="448" spans="1:2" x14ac:dyDescent="0.25">
      <c r="A448" s="83" t="s">
        <v>1096</v>
      </c>
      <c r="B448" s="83" t="s">
        <v>1097</v>
      </c>
    </row>
    <row r="449" spans="1:2" x14ac:dyDescent="0.25">
      <c r="A449" s="83" t="s">
        <v>1098</v>
      </c>
      <c r="B449" s="83" t="s">
        <v>1099</v>
      </c>
    </row>
    <row r="450" spans="1:2" x14ac:dyDescent="0.25">
      <c r="A450" s="83" t="s">
        <v>1100</v>
      </c>
      <c r="B450" s="83" t="s">
        <v>1101</v>
      </c>
    </row>
    <row r="451" spans="1:2" x14ac:dyDescent="0.25">
      <c r="A451" s="83" t="s">
        <v>1102</v>
      </c>
      <c r="B451" s="83" t="s">
        <v>1103</v>
      </c>
    </row>
    <row r="452" spans="1:2" x14ac:dyDescent="0.25">
      <c r="A452" s="83" t="s">
        <v>1104</v>
      </c>
      <c r="B452" s="83" t="s">
        <v>1105</v>
      </c>
    </row>
    <row r="453" spans="1:2" x14ac:dyDescent="0.25">
      <c r="A453" s="83" t="s">
        <v>1106</v>
      </c>
      <c r="B453" s="83" t="s">
        <v>1107</v>
      </c>
    </row>
    <row r="454" spans="1:2" x14ac:dyDescent="0.25">
      <c r="A454" s="83" t="s">
        <v>1108</v>
      </c>
      <c r="B454" s="83" t="s">
        <v>1109</v>
      </c>
    </row>
    <row r="455" spans="1:2" x14ac:dyDescent="0.25">
      <c r="A455" s="83" t="s">
        <v>1110</v>
      </c>
      <c r="B455" s="83" t="s">
        <v>1111</v>
      </c>
    </row>
    <row r="456" spans="1:2" x14ac:dyDescent="0.25">
      <c r="A456" s="83" t="s">
        <v>1112</v>
      </c>
      <c r="B456" s="83" t="s">
        <v>1113</v>
      </c>
    </row>
    <row r="457" spans="1:2" x14ac:dyDescent="0.25">
      <c r="A457" s="83" t="s">
        <v>1114</v>
      </c>
      <c r="B457" s="83" t="s">
        <v>1115</v>
      </c>
    </row>
    <row r="458" spans="1:2" x14ac:dyDescent="0.25">
      <c r="A458" s="83" t="s">
        <v>1116</v>
      </c>
      <c r="B458" s="83" t="s">
        <v>1117</v>
      </c>
    </row>
    <row r="459" spans="1:2" x14ac:dyDescent="0.25">
      <c r="A459" s="83" t="s">
        <v>541</v>
      </c>
      <c r="B459" s="83" t="s">
        <v>542</v>
      </c>
    </row>
    <row r="460" spans="1:2" x14ac:dyDescent="0.25">
      <c r="A460" s="83" t="s">
        <v>1118</v>
      </c>
      <c r="B460" s="83" t="s">
        <v>1119</v>
      </c>
    </row>
    <row r="461" spans="1:2" x14ac:dyDescent="0.25">
      <c r="A461" s="83" t="s">
        <v>1120</v>
      </c>
      <c r="B461" s="83" t="s">
        <v>234</v>
      </c>
    </row>
    <row r="462" spans="1:2" x14ac:dyDescent="0.25">
      <c r="A462" s="83" t="s">
        <v>1005</v>
      </c>
      <c r="B462" s="83" t="s">
        <v>1006</v>
      </c>
    </row>
    <row r="463" spans="1:2" x14ac:dyDescent="0.25">
      <c r="A463" s="83" t="s">
        <v>1121</v>
      </c>
      <c r="B463" s="83" t="s">
        <v>1122</v>
      </c>
    </row>
    <row r="464" spans="1:2" x14ac:dyDescent="0.25">
      <c r="A464" s="83" t="s">
        <v>1123</v>
      </c>
      <c r="B464" s="83" t="s">
        <v>1124</v>
      </c>
    </row>
    <row r="465" spans="1:2" x14ac:dyDescent="0.25">
      <c r="A465" s="83" t="s">
        <v>1125</v>
      </c>
      <c r="B465" s="83" t="s">
        <v>1126</v>
      </c>
    </row>
    <row r="466" spans="1:2" x14ac:dyDescent="0.25">
      <c r="A466" s="83" t="s">
        <v>1127</v>
      </c>
      <c r="B466" s="83" t="s">
        <v>1128</v>
      </c>
    </row>
    <row r="467" spans="1:2" x14ac:dyDescent="0.25">
      <c r="A467" s="83" t="s">
        <v>1129</v>
      </c>
      <c r="B467" s="83" t="s">
        <v>1130</v>
      </c>
    </row>
    <row r="468" spans="1:2" x14ac:dyDescent="0.25">
      <c r="A468" s="83" t="s">
        <v>1131</v>
      </c>
      <c r="B468" s="83" t="s">
        <v>1132</v>
      </c>
    </row>
    <row r="469" spans="1:2" x14ac:dyDescent="0.25">
      <c r="A469" s="83" t="s">
        <v>1133</v>
      </c>
      <c r="B469" s="83" t="s">
        <v>1134</v>
      </c>
    </row>
    <row r="470" spans="1:2" x14ac:dyDescent="0.25">
      <c r="A470" s="83" t="s">
        <v>1135</v>
      </c>
      <c r="B470" s="83" t="s">
        <v>1136</v>
      </c>
    </row>
    <row r="471" spans="1:2" x14ac:dyDescent="0.25">
      <c r="A471" s="83" t="s">
        <v>1137</v>
      </c>
      <c r="B471" s="83" t="s">
        <v>1138</v>
      </c>
    </row>
    <row r="472" spans="1:2" x14ac:dyDescent="0.25">
      <c r="A472" s="83" t="s">
        <v>1139</v>
      </c>
      <c r="B472" s="83" t="s">
        <v>1140</v>
      </c>
    </row>
    <row r="473" spans="1:2" x14ac:dyDescent="0.25">
      <c r="A473" s="83" t="s">
        <v>1141</v>
      </c>
      <c r="B473" s="83" t="s">
        <v>230</v>
      </c>
    </row>
    <row r="474" spans="1:2" x14ac:dyDescent="0.25">
      <c r="A474" s="83" t="s">
        <v>1142</v>
      </c>
      <c r="B474" s="83" t="s">
        <v>231</v>
      </c>
    </row>
    <row r="475" spans="1:2" x14ac:dyDescent="0.25">
      <c r="A475" s="83" t="s">
        <v>1143</v>
      </c>
      <c r="B475" s="83" t="s">
        <v>1144</v>
      </c>
    </row>
    <row r="476" spans="1:2" x14ac:dyDescent="0.25">
      <c r="A476" s="83" t="s">
        <v>1145</v>
      </c>
      <c r="B476" s="83" t="s">
        <v>1146</v>
      </c>
    </row>
    <row r="477" spans="1:2" x14ac:dyDescent="0.25">
      <c r="A477" s="83" t="s">
        <v>1147</v>
      </c>
      <c r="B477" s="83" t="s">
        <v>1148</v>
      </c>
    </row>
    <row r="478" spans="1:2" x14ac:dyDescent="0.25">
      <c r="A478" s="83" t="s">
        <v>1149</v>
      </c>
      <c r="B478" s="83" t="s">
        <v>1150</v>
      </c>
    </row>
    <row r="479" spans="1:2" x14ac:dyDescent="0.25">
      <c r="A479" s="83" t="s">
        <v>1151</v>
      </c>
      <c r="B479" s="83" t="s">
        <v>1152</v>
      </c>
    </row>
    <row r="480" spans="1:2" x14ac:dyDescent="0.25">
      <c r="A480" s="83" t="s">
        <v>1153</v>
      </c>
      <c r="B480" s="83" t="s">
        <v>1154</v>
      </c>
    </row>
    <row r="481" spans="1:2" x14ac:dyDescent="0.25">
      <c r="A481" s="83" t="s">
        <v>1235</v>
      </c>
      <c r="B481" s="83" t="s">
        <v>1155</v>
      </c>
    </row>
    <row r="482" spans="1:2" x14ac:dyDescent="0.25">
      <c r="A482" s="83" t="s">
        <v>1236</v>
      </c>
      <c r="B482" s="83" t="s">
        <v>1156</v>
      </c>
    </row>
    <row r="483" spans="1:2" x14ac:dyDescent="0.25">
      <c r="A483" s="83" t="s">
        <v>1237</v>
      </c>
      <c r="B483" s="83" t="s">
        <v>1157</v>
      </c>
    </row>
    <row r="484" spans="1:2" x14ac:dyDescent="0.25">
      <c r="A484" s="83" t="s">
        <v>1158</v>
      </c>
      <c r="B484" s="83" t="s">
        <v>1159</v>
      </c>
    </row>
    <row r="485" spans="1:2" x14ac:dyDescent="0.25">
      <c r="A485" s="83" t="s">
        <v>1160</v>
      </c>
      <c r="B485" s="83" t="s">
        <v>1161</v>
      </c>
    </row>
    <row r="486" spans="1:2" x14ac:dyDescent="0.25">
      <c r="A486" s="83" t="s">
        <v>1162</v>
      </c>
      <c r="B486" s="83" t="s">
        <v>1163</v>
      </c>
    </row>
    <row r="487" spans="1:2" x14ac:dyDescent="0.25">
      <c r="A487" s="83" t="s">
        <v>1164</v>
      </c>
      <c r="B487" s="83" t="s">
        <v>1165</v>
      </c>
    </row>
    <row r="488" spans="1:2" x14ac:dyDescent="0.25">
      <c r="A488" s="83" t="s">
        <v>1166</v>
      </c>
      <c r="B488" s="83" t="s">
        <v>1167</v>
      </c>
    </row>
    <row r="489" spans="1:2" x14ac:dyDescent="0.25">
      <c r="A489" s="83" t="s">
        <v>1168</v>
      </c>
      <c r="B489" s="83" t="s">
        <v>1169</v>
      </c>
    </row>
    <row r="490" spans="1:2" x14ac:dyDescent="0.25">
      <c r="A490" s="83" t="s">
        <v>1170</v>
      </c>
      <c r="B490" s="83" t="s">
        <v>1171</v>
      </c>
    </row>
    <row r="491" spans="1:2" x14ac:dyDescent="0.25">
      <c r="A491" s="83" t="s">
        <v>1238</v>
      </c>
      <c r="B491" s="83" t="s">
        <v>1172</v>
      </c>
    </row>
    <row r="492" spans="1:2" x14ac:dyDescent="0.25">
      <c r="A492" s="83" t="s">
        <v>1239</v>
      </c>
      <c r="B492" s="83" t="s">
        <v>1173</v>
      </c>
    </row>
    <row r="493" spans="1:2" x14ac:dyDescent="0.25">
      <c r="A493" s="83" t="s">
        <v>1240</v>
      </c>
      <c r="B493" s="83" t="s">
        <v>1174</v>
      </c>
    </row>
    <row r="494" spans="1:2" x14ac:dyDescent="0.25">
      <c r="A494" s="83" t="s">
        <v>1175</v>
      </c>
      <c r="B494" s="83" t="s">
        <v>1176</v>
      </c>
    </row>
    <row r="495" spans="1:2" x14ac:dyDescent="0.25">
      <c r="A495" s="83" t="s">
        <v>1241</v>
      </c>
      <c r="B495" s="83" t="s">
        <v>1177</v>
      </c>
    </row>
    <row r="496" spans="1:2" x14ac:dyDescent="0.25">
      <c r="A496" s="83" t="s">
        <v>1242</v>
      </c>
      <c r="B496" s="83" t="s">
        <v>1178</v>
      </c>
    </row>
    <row r="497" spans="1:2" x14ac:dyDescent="0.25">
      <c r="A497" s="83" t="s">
        <v>1179</v>
      </c>
      <c r="B497" s="83" t="s">
        <v>1180</v>
      </c>
    </row>
    <row r="498" spans="1:2" x14ac:dyDescent="0.25">
      <c r="A498" s="83" t="s">
        <v>1243</v>
      </c>
      <c r="B498" s="83" t="s">
        <v>1181</v>
      </c>
    </row>
    <row r="499" spans="1:2" x14ac:dyDescent="0.25">
      <c r="A499" s="83" t="s">
        <v>1244</v>
      </c>
      <c r="B499" s="83" t="s">
        <v>1182</v>
      </c>
    </row>
    <row r="500" spans="1:2" x14ac:dyDescent="0.25">
      <c r="A500" s="83" t="s">
        <v>1245</v>
      </c>
      <c r="B500" s="83" t="s">
        <v>1183</v>
      </c>
    </row>
    <row r="501" spans="1:2" x14ac:dyDescent="0.25">
      <c r="A501" s="83" t="s">
        <v>1184</v>
      </c>
      <c r="B501" s="83" t="s">
        <v>1185</v>
      </c>
    </row>
    <row r="502" spans="1:2" x14ac:dyDescent="0.25">
      <c r="A502" s="83" t="s">
        <v>1186</v>
      </c>
      <c r="B502" s="83" t="s">
        <v>1187</v>
      </c>
    </row>
    <row r="503" spans="1:2" x14ac:dyDescent="0.25">
      <c r="A503" s="83" t="s">
        <v>1188</v>
      </c>
      <c r="B503" s="83" t="s">
        <v>806</v>
      </c>
    </row>
    <row r="504" spans="1:2" x14ac:dyDescent="0.25">
      <c r="A504" s="83" t="s">
        <v>1189</v>
      </c>
      <c r="B504" s="83" t="s">
        <v>1190</v>
      </c>
    </row>
    <row r="505" spans="1:2" x14ac:dyDescent="0.25">
      <c r="A505" s="83" t="s">
        <v>1191</v>
      </c>
      <c r="B505" s="83" t="s">
        <v>1192</v>
      </c>
    </row>
    <row r="506" spans="1:2" x14ac:dyDescent="0.25">
      <c r="A506" s="83" t="s">
        <v>524</v>
      </c>
      <c r="B506" s="83" t="s">
        <v>158</v>
      </c>
    </row>
    <row r="507" spans="1:2" x14ac:dyDescent="0.25">
      <c r="A507" s="83" t="s">
        <v>367</v>
      </c>
      <c r="B507" s="83" t="s">
        <v>368</v>
      </c>
    </row>
    <row r="508" spans="1:2" x14ac:dyDescent="0.25">
      <c r="A508" s="83" t="s">
        <v>1193</v>
      </c>
      <c r="B508" s="83" t="s">
        <v>1194</v>
      </c>
    </row>
    <row r="509" spans="1:2" x14ac:dyDescent="0.25">
      <c r="A509" s="83" t="s">
        <v>1195</v>
      </c>
      <c r="B509" s="83" t="s">
        <v>1196</v>
      </c>
    </row>
    <row r="510" spans="1:2" x14ac:dyDescent="0.25">
      <c r="A510" s="83" t="s">
        <v>1197</v>
      </c>
      <c r="B510" s="83" t="s">
        <v>1198</v>
      </c>
    </row>
    <row r="511" spans="1:2" x14ac:dyDescent="0.25">
      <c r="A511" s="83" t="s">
        <v>1199</v>
      </c>
      <c r="B511" s="83" t="s">
        <v>1200</v>
      </c>
    </row>
    <row r="512" spans="1:2" x14ac:dyDescent="0.25">
      <c r="A512" s="83" t="s">
        <v>1201</v>
      </c>
      <c r="B512" s="83" t="s">
        <v>1202</v>
      </c>
    </row>
    <row r="513" spans="1:2" x14ac:dyDescent="0.25">
      <c r="A513" s="83" t="s">
        <v>1203</v>
      </c>
      <c r="B513" s="83" t="s">
        <v>1204</v>
      </c>
    </row>
    <row r="514" spans="1:2" x14ac:dyDescent="0.25">
      <c r="A514" s="83" t="s">
        <v>1205</v>
      </c>
      <c r="B514" s="83" t="s">
        <v>1206</v>
      </c>
    </row>
    <row r="515" spans="1:2" x14ac:dyDescent="0.25">
      <c r="A515" s="83" t="s">
        <v>1207</v>
      </c>
      <c r="B515" s="83" t="s">
        <v>1208</v>
      </c>
    </row>
    <row r="516" spans="1:2" x14ac:dyDescent="0.25">
      <c r="A516" s="83" t="s">
        <v>1209</v>
      </c>
      <c r="B516" s="83" t="s">
        <v>1210</v>
      </c>
    </row>
    <row r="517" spans="1:2" x14ac:dyDescent="0.25">
      <c r="A517" s="83" t="s">
        <v>1211</v>
      </c>
      <c r="B517" s="83" t="s">
        <v>1212</v>
      </c>
    </row>
    <row r="518" spans="1:2" x14ac:dyDescent="0.25">
      <c r="A518" s="83" t="s">
        <v>1213</v>
      </c>
      <c r="B518" s="83" t="s">
        <v>1214</v>
      </c>
    </row>
    <row r="519" spans="1:2" x14ac:dyDescent="0.25">
      <c r="A519" s="83" t="s">
        <v>1215</v>
      </c>
      <c r="B519" s="83" t="s">
        <v>1216</v>
      </c>
    </row>
    <row r="520" spans="1:2" x14ac:dyDescent="0.25">
      <c r="A520" s="83" t="s">
        <v>1217</v>
      </c>
      <c r="B520" s="83" t="s">
        <v>1218</v>
      </c>
    </row>
    <row r="521" spans="1:2" x14ac:dyDescent="0.25">
      <c r="A521" s="83" t="s">
        <v>1219</v>
      </c>
      <c r="B521" s="83" t="s">
        <v>1216</v>
      </c>
    </row>
    <row r="522" spans="1:2" x14ac:dyDescent="0.25">
      <c r="A522" s="83" t="s">
        <v>1220</v>
      </c>
      <c r="B522" s="83" t="s">
        <v>1221</v>
      </c>
    </row>
    <row r="523" spans="1:2" x14ac:dyDescent="0.25">
      <c r="A523" s="83" t="s">
        <v>1222</v>
      </c>
      <c r="B523" s="83" t="s">
        <v>1223</v>
      </c>
    </row>
    <row r="524" spans="1:2" x14ac:dyDescent="0.25">
      <c r="A524" s="83" t="s">
        <v>236</v>
      </c>
      <c r="B524" s="83" t="s">
        <v>1246</v>
      </c>
    </row>
    <row r="525" spans="1:2" x14ac:dyDescent="0.25">
      <c r="A525" s="83" t="s">
        <v>237</v>
      </c>
      <c r="B525" s="83" t="s">
        <v>1247</v>
      </c>
    </row>
    <row r="526" spans="1:2" x14ac:dyDescent="0.25">
      <c r="A526" s="83" t="s">
        <v>238</v>
      </c>
      <c r="B526" s="83" t="s">
        <v>79</v>
      </c>
    </row>
    <row r="527" spans="1:2" x14ac:dyDescent="0.25">
      <c r="A527" s="83" t="s">
        <v>239</v>
      </c>
      <c r="B527" s="83" t="s">
        <v>77</v>
      </c>
    </row>
    <row r="528" spans="1:2" x14ac:dyDescent="0.25">
      <c r="A528" s="83" t="s">
        <v>240</v>
      </c>
      <c r="B528" s="83" t="s">
        <v>1248</v>
      </c>
    </row>
    <row r="529" spans="1:2" x14ac:dyDescent="0.25">
      <c r="A529" s="83" t="s">
        <v>241</v>
      </c>
      <c r="B529" s="83" t="s">
        <v>1249</v>
      </c>
    </row>
    <row r="530" spans="1:2" x14ac:dyDescent="0.25">
      <c r="A530" s="83" t="s">
        <v>1250</v>
      </c>
      <c r="B530" s="83" t="s">
        <v>1251</v>
      </c>
    </row>
    <row r="531" spans="1:2" x14ac:dyDescent="0.25">
      <c r="A531" s="83" t="s">
        <v>1252</v>
      </c>
      <c r="B531" s="83" t="s">
        <v>1253</v>
      </c>
    </row>
    <row r="532" spans="1:2" x14ac:dyDescent="0.25">
      <c r="A532" s="83" t="s">
        <v>1254</v>
      </c>
      <c r="B532" s="83" t="s">
        <v>1255</v>
      </c>
    </row>
    <row r="533" spans="1:2" x14ac:dyDescent="0.25">
      <c r="A533" s="83" t="s">
        <v>1256</v>
      </c>
      <c r="B533" s="83" t="s">
        <v>1257</v>
      </c>
    </row>
    <row r="534" spans="1:2" x14ac:dyDescent="0.25">
      <c r="A534" s="83" t="s">
        <v>1258</v>
      </c>
      <c r="B534" s="83" t="s">
        <v>1259</v>
      </c>
    </row>
    <row r="535" spans="1:2" x14ac:dyDescent="0.25">
      <c r="A535" s="83" t="s">
        <v>1260</v>
      </c>
      <c r="B535" s="83" t="s">
        <v>1261</v>
      </c>
    </row>
    <row r="536" spans="1:2" x14ac:dyDescent="0.25">
      <c r="A536" s="83" t="s">
        <v>1094</v>
      </c>
      <c r="B536" s="83" t="s">
        <v>1095</v>
      </c>
    </row>
    <row r="537" spans="1:2" x14ac:dyDescent="0.25">
      <c r="A537" s="83" t="s">
        <v>1262</v>
      </c>
      <c r="B537" s="83" t="s">
        <v>1263</v>
      </c>
    </row>
    <row r="538" spans="1:2" x14ac:dyDescent="0.25">
      <c r="A538" s="83" t="s">
        <v>1264</v>
      </c>
      <c r="B538" s="83" t="s">
        <v>1265</v>
      </c>
    </row>
    <row r="539" spans="1:2" x14ac:dyDescent="0.25">
      <c r="A539" s="83" t="s">
        <v>1266</v>
      </c>
      <c r="B539" s="83" t="s">
        <v>53</v>
      </c>
    </row>
    <row r="540" spans="1:2" x14ac:dyDescent="0.25">
      <c r="A540" s="83" t="s">
        <v>1267</v>
      </c>
      <c r="B540" s="83" t="s">
        <v>88</v>
      </c>
    </row>
    <row r="541" spans="1:2" x14ac:dyDescent="0.25">
      <c r="A541" s="83" t="s">
        <v>1268</v>
      </c>
      <c r="B541" s="83" t="s">
        <v>1269</v>
      </c>
    </row>
    <row r="542" spans="1:2" x14ac:dyDescent="0.25">
      <c r="A542" s="83" t="s">
        <v>1270</v>
      </c>
      <c r="B542" s="83" t="s">
        <v>1271</v>
      </c>
    </row>
    <row r="543" spans="1:2" x14ac:dyDescent="0.25">
      <c r="A543" s="83" t="s">
        <v>1272</v>
      </c>
      <c r="B543" s="83" t="s">
        <v>1273</v>
      </c>
    </row>
    <row r="544" spans="1:2" x14ac:dyDescent="0.25">
      <c r="A544" s="83" t="s">
        <v>1274</v>
      </c>
      <c r="B544" s="83" t="s">
        <v>1275</v>
      </c>
    </row>
    <row r="545" spans="1:2" x14ac:dyDescent="0.25">
      <c r="A545" s="83" t="s">
        <v>1276</v>
      </c>
      <c r="B545" s="83" t="s">
        <v>1277</v>
      </c>
    </row>
    <row r="546" spans="1:2" x14ac:dyDescent="0.25">
      <c r="A546" s="83" t="s">
        <v>1278</v>
      </c>
      <c r="B546" s="83" t="s">
        <v>1279</v>
      </c>
    </row>
    <row r="547" spans="1:2" x14ac:dyDescent="0.25">
      <c r="A547" s="83" t="s">
        <v>1280</v>
      </c>
      <c r="B547" s="83" t="s">
        <v>1281</v>
      </c>
    </row>
    <row r="548" spans="1:2" x14ac:dyDescent="0.25">
      <c r="A548" s="83" t="s">
        <v>1282</v>
      </c>
      <c r="B548" s="83" t="s">
        <v>1283</v>
      </c>
    </row>
    <row r="549" spans="1:2" x14ac:dyDescent="0.25">
      <c r="A549" s="83" t="s">
        <v>1284</v>
      </c>
      <c r="B549" s="83" t="s">
        <v>1285</v>
      </c>
    </row>
    <row r="550" spans="1:2" x14ac:dyDescent="0.25">
      <c r="A550" s="83" t="s">
        <v>1286</v>
      </c>
      <c r="B550" s="83" t="s">
        <v>1287</v>
      </c>
    </row>
    <row r="551" spans="1:2" x14ac:dyDescent="0.25">
      <c r="A551" s="83" t="s">
        <v>1288</v>
      </c>
      <c r="B551" s="83" t="s">
        <v>1289</v>
      </c>
    </row>
    <row r="552" spans="1:2" x14ac:dyDescent="0.25">
      <c r="A552" s="83" t="s">
        <v>1290</v>
      </c>
      <c r="B552" s="83" t="s">
        <v>1291</v>
      </c>
    </row>
    <row r="553" spans="1:2" x14ac:dyDescent="0.25">
      <c r="A553" s="83" t="s">
        <v>1292</v>
      </c>
      <c r="B553" s="83" t="s">
        <v>1293</v>
      </c>
    </row>
    <row r="554" spans="1:2" x14ac:dyDescent="0.25">
      <c r="A554" s="83" t="s">
        <v>1294</v>
      </c>
      <c r="B554" s="83" t="s">
        <v>1295</v>
      </c>
    </row>
    <row r="555" spans="1:2" x14ac:dyDescent="0.25">
      <c r="A555" s="83" t="s">
        <v>1296</v>
      </c>
      <c r="B555" s="83" t="s">
        <v>1297</v>
      </c>
    </row>
    <row r="556" spans="1:2" x14ac:dyDescent="0.25">
      <c r="A556" s="83" t="s">
        <v>1298</v>
      </c>
      <c r="B556" s="83" t="s">
        <v>1299</v>
      </c>
    </row>
    <row r="557" spans="1:2" x14ac:dyDescent="0.25">
      <c r="A557" s="83" t="s">
        <v>1300</v>
      </c>
      <c r="B557" s="83" t="s">
        <v>1301</v>
      </c>
    </row>
    <row r="558" spans="1:2" x14ac:dyDescent="0.25">
      <c r="A558" s="83" t="s">
        <v>1302</v>
      </c>
      <c r="B558" s="83" t="s">
        <v>1303</v>
      </c>
    </row>
    <row r="559" spans="1:2" x14ac:dyDescent="0.25">
      <c r="A559" s="83" t="s">
        <v>1304</v>
      </c>
      <c r="B559" s="83" t="s">
        <v>1305</v>
      </c>
    </row>
    <row r="560" spans="1:2" x14ac:dyDescent="0.25">
      <c r="A560" s="83" t="s">
        <v>1306</v>
      </c>
      <c r="B560" s="83" t="s">
        <v>1307</v>
      </c>
    </row>
    <row r="561" spans="1:2" x14ac:dyDescent="0.25">
      <c r="A561" s="83" t="s">
        <v>1308</v>
      </c>
      <c r="B561" s="83" t="s">
        <v>1309</v>
      </c>
    </row>
    <row r="562" spans="1:2" x14ac:dyDescent="0.25">
      <c r="A562" s="83" t="s">
        <v>1310</v>
      </c>
      <c r="B562" s="83" t="s">
        <v>1311</v>
      </c>
    </row>
    <row r="563" spans="1:2" x14ac:dyDescent="0.25">
      <c r="A563" s="83" t="s">
        <v>1312</v>
      </c>
      <c r="B563" s="83" t="s">
        <v>1313</v>
      </c>
    </row>
    <row r="564" spans="1:2" x14ac:dyDescent="0.25">
      <c r="A564" s="83" t="s">
        <v>1314</v>
      </c>
      <c r="B564" s="83" t="s">
        <v>1315</v>
      </c>
    </row>
    <row r="565" spans="1:2" x14ac:dyDescent="0.25">
      <c r="A565" s="83" t="s">
        <v>1316</v>
      </c>
      <c r="B565" s="83" t="s">
        <v>1317</v>
      </c>
    </row>
    <row r="566" spans="1:2" x14ac:dyDescent="0.25">
      <c r="A566" s="83" t="s">
        <v>242</v>
      </c>
      <c r="B566" s="83" t="s">
        <v>1318</v>
      </c>
    </row>
    <row r="567" spans="1:2" x14ac:dyDescent="0.25">
      <c r="A567" s="83" t="s">
        <v>1319</v>
      </c>
      <c r="B567" s="83" t="s">
        <v>1320</v>
      </c>
    </row>
    <row r="568" spans="1:2" x14ac:dyDescent="0.25">
      <c r="A568" s="84" t="s">
        <v>1321</v>
      </c>
      <c r="B568" s="83" t="s">
        <v>1322</v>
      </c>
    </row>
    <row r="569" spans="1:2" x14ac:dyDescent="0.25">
      <c r="A569" s="83" t="s">
        <v>1323</v>
      </c>
      <c r="B569" s="83" t="s">
        <v>1324</v>
      </c>
    </row>
    <row r="570" spans="1:2" x14ac:dyDescent="0.25">
      <c r="A570" s="83" t="s">
        <v>1327</v>
      </c>
      <c r="B570" s="83" t="s">
        <v>1328</v>
      </c>
    </row>
    <row r="571" spans="1:2" x14ac:dyDescent="0.25">
      <c r="A571" s="83" t="s">
        <v>1329</v>
      </c>
      <c r="B571" s="83" t="s">
        <v>1330</v>
      </c>
    </row>
    <row r="572" spans="1:2" x14ac:dyDescent="0.25">
      <c r="A572" s="83" t="s">
        <v>1331</v>
      </c>
      <c r="B572" s="83" t="s">
        <v>1332</v>
      </c>
    </row>
    <row r="573" spans="1:2" x14ac:dyDescent="0.25">
      <c r="A573" s="83" t="s">
        <v>1333</v>
      </c>
      <c r="B573" s="83" t="s">
        <v>1334</v>
      </c>
    </row>
    <row r="574" spans="1:2" x14ac:dyDescent="0.25">
      <c r="A574" s="83" t="s">
        <v>1335</v>
      </c>
      <c r="B574" s="83" t="s">
        <v>1336</v>
      </c>
    </row>
    <row r="575" spans="1:2" x14ac:dyDescent="0.25">
      <c r="A575" s="83" t="s">
        <v>1337</v>
      </c>
      <c r="B575" s="83" t="s">
        <v>1338</v>
      </c>
    </row>
    <row r="576" spans="1:2" x14ac:dyDescent="0.25">
      <c r="A576" s="83" t="s">
        <v>1339</v>
      </c>
      <c r="B576" s="83" t="s">
        <v>1340</v>
      </c>
    </row>
    <row r="577" spans="1:2" x14ac:dyDescent="0.25">
      <c r="A577" s="83" t="s">
        <v>1341</v>
      </c>
      <c r="B577" s="83" t="s">
        <v>1342</v>
      </c>
    </row>
    <row r="578" spans="1:2" x14ac:dyDescent="0.25">
      <c r="A578" s="83" t="s">
        <v>1325</v>
      </c>
      <c r="B578" s="83" t="s">
        <v>1326</v>
      </c>
    </row>
    <row r="579" spans="1:2" x14ac:dyDescent="0.25">
      <c r="A579" s="83" t="s">
        <v>1343</v>
      </c>
      <c r="B579" s="83" t="s">
        <v>1344</v>
      </c>
    </row>
    <row r="580" spans="1:2" x14ac:dyDescent="0.25">
      <c r="A580" s="83" t="s">
        <v>1345</v>
      </c>
      <c r="B580" s="83" t="s">
        <v>1346</v>
      </c>
    </row>
    <row r="581" spans="1:2" x14ac:dyDescent="0.25">
      <c r="A581" s="83" t="s">
        <v>1347</v>
      </c>
      <c r="B581" s="83" t="s">
        <v>1348</v>
      </c>
    </row>
    <row r="582" spans="1:2" x14ac:dyDescent="0.25">
      <c r="A582" s="83" t="s">
        <v>1349</v>
      </c>
      <c r="B582" s="83" t="s">
        <v>1350</v>
      </c>
    </row>
    <row r="583" spans="1:2" x14ac:dyDescent="0.25">
      <c r="A583" s="83" t="s">
        <v>1351</v>
      </c>
      <c r="B583" s="83" t="s">
        <v>1352</v>
      </c>
    </row>
    <row r="584" spans="1:2" x14ac:dyDescent="0.25">
      <c r="A584" s="83" t="s">
        <v>1353</v>
      </c>
      <c r="B584" s="83" t="s">
        <v>1354</v>
      </c>
    </row>
    <row r="585" spans="1:2" x14ac:dyDescent="0.25">
      <c r="A585" s="83" t="s">
        <v>1355</v>
      </c>
      <c r="B585" s="83" t="s">
        <v>1356</v>
      </c>
    </row>
    <row r="586" spans="1:2" x14ac:dyDescent="0.25">
      <c r="A586" s="83" t="s">
        <v>1357</v>
      </c>
      <c r="B586" s="83" t="s">
        <v>1358</v>
      </c>
    </row>
    <row r="587" spans="1:2" x14ac:dyDescent="0.25">
      <c r="A587" s="83" t="s">
        <v>1359</v>
      </c>
      <c r="B587" s="83" t="s">
        <v>1360</v>
      </c>
    </row>
    <row r="588" spans="1:2" x14ac:dyDescent="0.25">
      <c r="A588" s="83" t="s">
        <v>1361</v>
      </c>
      <c r="B588" s="83" t="s">
        <v>1362</v>
      </c>
    </row>
    <row r="589" spans="1:2" x14ac:dyDescent="0.25">
      <c r="A589" s="83" t="s">
        <v>1363</v>
      </c>
      <c r="B589" s="83" t="s">
        <v>1364</v>
      </c>
    </row>
    <row r="590" spans="1:2" x14ac:dyDescent="0.25">
      <c r="A590" s="83" t="s">
        <v>1365</v>
      </c>
      <c r="B590" s="83" t="s">
        <v>1366</v>
      </c>
    </row>
    <row r="591" spans="1:2" x14ac:dyDescent="0.25">
      <c r="A591" s="83" t="s">
        <v>1367</v>
      </c>
      <c r="B591" s="83" t="s">
        <v>1368</v>
      </c>
    </row>
    <row r="592" spans="1:2" x14ac:dyDescent="0.25">
      <c r="A592" s="83" t="s">
        <v>1369</v>
      </c>
      <c r="B592" s="83" t="s">
        <v>1370</v>
      </c>
    </row>
    <row r="593" spans="1:2" x14ac:dyDescent="0.25">
      <c r="A593" s="83" t="s">
        <v>1371</v>
      </c>
      <c r="B593" s="83" t="s">
        <v>1372</v>
      </c>
    </row>
    <row r="594" spans="1:2" x14ac:dyDescent="0.25">
      <c r="A594" s="83" t="s">
        <v>1373</v>
      </c>
      <c r="B594" s="83" t="s">
        <v>1374</v>
      </c>
    </row>
    <row r="595" spans="1:2" x14ac:dyDescent="0.25">
      <c r="A595" s="83" t="s">
        <v>1375</v>
      </c>
      <c r="B595" s="83" t="s">
        <v>1376</v>
      </c>
    </row>
    <row r="596" spans="1:2" x14ac:dyDescent="0.25">
      <c r="A596" s="83" t="s">
        <v>1377</v>
      </c>
      <c r="B596" s="83" t="s">
        <v>1378</v>
      </c>
    </row>
    <row r="597" spans="1:2" x14ac:dyDescent="0.25">
      <c r="A597" s="83" t="s">
        <v>1379</v>
      </c>
      <c r="B597" s="83" t="s">
        <v>1380</v>
      </c>
    </row>
    <row r="598" spans="1:2" x14ac:dyDescent="0.25">
      <c r="A598" s="83" t="s">
        <v>1409</v>
      </c>
      <c r="B598" s="83" t="s">
        <v>1410</v>
      </c>
    </row>
    <row r="599" spans="1:2" x14ac:dyDescent="0.25">
      <c r="A599" s="83" t="s">
        <v>1411</v>
      </c>
      <c r="B599" s="83" t="s">
        <v>1412</v>
      </c>
    </row>
    <row r="600" spans="1:2" x14ac:dyDescent="0.25">
      <c r="A600" s="83" t="s">
        <v>1413</v>
      </c>
      <c r="B600" s="83" t="s">
        <v>1414</v>
      </c>
    </row>
    <row r="601" spans="1:2" x14ac:dyDescent="0.25">
      <c r="A601" s="83" t="s">
        <v>1416</v>
      </c>
      <c r="B601" s="83" t="s">
        <v>1415</v>
      </c>
    </row>
    <row r="602" spans="1:2" x14ac:dyDescent="0.25">
      <c r="A602" s="83" t="s">
        <v>1417</v>
      </c>
      <c r="B602" s="83" t="s">
        <v>1418</v>
      </c>
    </row>
    <row r="603" spans="1:2" x14ac:dyDescent="0.25">
      <c r="A603" s="83" t="s">
        <v>1419</v>
      </c>
      <c r="B603" s="83" t="s">
        <v>1420</v>
      </c>
    </row>
    <row r="604" spans="1:2" x14ac:dyDescent="0.25">
      <c r="A604" s="83" t="s">
        <v>1421</v>
      </c>
      <c r="B604" s="83" t="s">
        <v>1422</v>
      </c>
    </row>
    <row r="605" spans="1:2" x14ac:dyDescent="0.25">
      <c r="A605" s="83" t="s">
        <v>1423</v>
      </c>
      <c r="B605" s="83" t="s">
        <v>1424</v>
      </c>
    </row>
    <row r="606" spans="1:2" x14ac:dyDescent="0.25">
      <c r="A606" s="83" t="s">
        <v>1466</v>
      </c>
      <c r="B606" s="83" t="s">
        <v>1467</v>
      </c>
    </row>
    <row r="607" spans="1:2" x14ac:dyDescent="0.25">
      <c r="A607" s="83" t="s">
        <v>1468</v>
      </c>
      <c r="B607" s="83" t="s">
        <v>1469</v>
      </c>
    </row>
    <row r="608" spans="1:2" x14ac:dyDescent="0.25">
      <c r="A608" s="83" t="s">
        <v>1470</v>
      </c>
      <c r="B608" s="83" t="s">
        <v>1471</v>
      </c>
    </row>
    <row r="609" spans="1:2" x14ac:dyDescent="0.25">
      <c r="A609" s="83" t="s">
        <v>1472</v>
      </c>
      <c r="B609" s="83" t="s">
        <v>1473</v>
      </c>
    </row>
    <row r="610" spans="1:2" x14ac:dyDescent="0.25">
      <c r="A610" s="83" t="s">
        <v>1474</v>
      </c>
      <c r="B610" s="83" t="s">
        <v>1475</v>
      </c>
    </row>
    <row r="611" spans="1:2" x14ac:dyDescent="0.25">
      <c r="A611" s="83" t="s">
        <v>1476</v>
      </c>
      <c r="B611" s="83" t="s">
        <v>1477</v>
      </c>
    </row>
    <row r="612" spans="1:2" x14ac:dyDescent="0.25">
      <c r="A612" s="83" t="s">
        <v>1478</v>
      </c>
      <c r="B612" s="83" t="s">
        <v>1479</v>
      </c>
    </row>
    <row r="613" spans="1:2" x14ac:dyDescent="0.25">
      <c r="A613" s="83" t="s">
        <v>1480</v>
      </c>
      <c r="B613" s="83" t="s">
        <v>1481</v>
      </c>
    </row>
    <row r="614" spans="1:2" x14ac:dyDescent="0.25">
      <c r="A614" s="83" t="s">
        <v>1482</v>
      </c>
      <c r="B614" s="83" t="s">
        <v>1483</v>
      </c>
    </row>
    <row r="615" spans="1:2" x14ac:dyDescent="0.25">
      <c r="A615" s="83" t="s">
        <v>1484</v>
      </c>
      <c r="B615" s="83" t="s">
        <v>1485</v>
      </c>
    </row>
    <row r="616" spans="1:2" x14ac:dyDescent="0.25">
      <c r="A616" s="83" t="s">
        <v>1486</v>
      </c>
      <c r="B616" s="83" t="s">
        <v>1487</v>
      </c>
    </row>
    <row r="617" spans="1:2" x14ac:dyDescent="0.25">
      <c r="A617" s="83" t="s">
        <v>1472</v>
      </c>
      <c r="B617" s="83" t="s">
        <v>1473</v>
      </c>
    </row>
  </sheetData>
  <conditionalFormatting sqref="A1 A184:A1048576">
    <cfRule type="duplicateValues" dxfId="0" priority="1"/>
  </conditionalFormatting>
  <pageMargins left="0.7" right="0.7" top="0.75" bottom="0.75" header="0.3" footer="0.3"/>
  <pageSetup paperSize="9" orientation="portrait" horizontalDpi="300" verticalDpi="0" copies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D13BC8-FED5-4617-B2AF-28BD80EA62FC}">
  <sheetPr codeName="Лист13"/>
  <dimension ref="A1:F101"/>
  <sheetViews>
    <sheetView workbookViewId="0"/>
  </sheetViews>
  <sheetFormatPr defaultRowHeight="15" x14ac:dyDescent="0.25"/>
  <cols>
    <col min="1" max="1" width="15.28515625" bestFit="1" customWidth="1"/>
    <col min="2" max="2" width="18.7109375" bestFit="1" customWidth="1"/>
    <col min="3" max="3" width="56" bestFit="1" customWidth="1"/>
    <col min="4" max="4" width="8.7109375" bestFit="1" customWidth="1"/>
    <col min="5" max="5" width="21.85546875" bestFit="1" customWidth="1"/>
    <col min="6" max="6" width="7.85546875" bestFit="1" customWidth="1"/>
  </cols>
  <sheetData>
    <row r="1" spans="1:6" x14ac:dyDescent="0.25">
      <c r="A1" s="82" t="s">
        <v>236</v>
      </c>
      <c r="B1" s="82" t="s">
        <v>237</v>
      </c>
      <c r="C1" s="82" t="s">
        <v>238</v>
      </c>
      <c r="D1" s="82" t="s">
        <v>239</v>
      </c>
      <c r="E1" s="82" t="s">
        <v>240</v>
      </c>
      <c r="F1" s="82" t="s">
        <v>241</v>
      </c>
    </row>
    <row r="2" spans="1:6" x14ac:dyDescent="0.25">
      <c r="A2" s="4">
        <v>46089.049895833334</v>
      </c>
      <c r="B2" t="s">
        <v>1381</v>
      </c>
      <c r="C2" t="s">
        <v>1161</v>
      </c>
      <c r="D2" t="s">
        <v>225</v>
      </c>
      <c r="E2">
        <v>0</v>
      </c>
      <c r="F2" t="s">
        <v>235</v>
      </c>
    </row>
    <row r="3" spans="1:6" x14ac:dyDescent="0.25">
      <c r="A3" s="4">
        <v>46089.049930555557</v>
      </c>
      <c r="B3" t="s">
        <v>1394</v>
      </c>
      <c r="C3" t="s">
        <v>1163</v>
      </c>
      <c r="D3" t="s">
        <v>225</v>
      </c>
      <c r="E3">
        <v>0</v>
      </c>
      <c r="F3" t="s">
        <v>235</v>
      </c>
    </row>
    <row r="4" spans="1:6" x14ac:dyDescent="0.25">
      <c r="A4" s="4">
        <v>46089.050127314818</v>
      </c>
      <c r="B4" t="s">
        <v>580</v>
      </c>
      <c r="C4" t="s">
        <v>1130</v>
      </c>
      <c r="D4" t="s">
        <v>225</v>
      </c>
      <c r="E4">
        <v>0</v>
      </c>
      <c r="F4" t="s">
        <v>235</v>
      </c>
    </row>
    <row r="5" spans="1:6" x14ac:dyDescent="0.25">
      <c r="A5" s="78">
        <v>46089.050162037034</v>
      </c>
      <c r="B5" s="79" t="s">
        <v>232</v>
      </c>
      <c r="C5" s="79" t="s">
        <v>1113</v>
      </c>
      <c r="D5" s="79" t="s">
        <v>226</v>
      </c>
      <c r="E5" s="79">
        <v>4334.22</v>
      </c>
      <c r="F5" s="79" t="s">
        <v>235</v>
      </c>
    </row>
    <row r="6" spans="1:6" x14ac:dyDescent="0.25">
      <c r="A6" s="80">
        <v>46089.050162037034</v>
      </c>
      <c r="B6" s="81" t="s">
        <v>233</v>
      </c>
      <c r="C6" s="81" t="s">
        <v>1396</v>
      </c>
      <c r="D6" s="81" t="s">
        <v>228</v>
      </c>
      <c r="E6" s="81">
        <v>0</v>
      </c>
      <c r="F6" s="81" t="s">
        <v>235</v>
      </c>
    </row>
    <row r="7" spans="1:6" x14ac:dyDescent="0.25">
      <c r="A7" s="80">
        <v>46089.050185185188</v>
      </c>
      <c r="B7" s="81" t="s">
        <v>232</v>
      </c>
      <c r="C7" s="81" t="s">
        <v>234</v>
      </c>
      <c r="D7" s="81" t="s">
        <v>228</v>
      </c>
      <c r="E7" s="81">
        <v>2.62</v>
      </c>
      <c r="F7" s="81" t="s">
        <v>235</v>
      </c>
    </row>
    <row r="8" spans="1:6" x14ac:dyDescent="0.25">
      <c r="A8" s="78">
        <v>46089.050196759257</v>
      </c>
      <c r="B8" s="79" t="s">
        <v>229</v>
      </c>
      <c r="C8" s="79" t="s">
        <v>230</v>
      </c>
      <c r="D8" s="79" t="s">
        <v>226</v>
      </c>
      <c r="E8" s="79">
        <v>4337.53</v>
      </c>
      <c r="F8" s="79" t="s">
        <v>235</v>
      </c>
    </row>
    <row r="9" spans="1:6" x14ac:dyDescent="0.25">
      <c r="A9" s="80">
        <v>46089.05023148148</v>
      </c>
      <c r="B9" s="81" t="s">
        <v>229</v>
      </c>
      <c r="C9" s="81" t="s">
        <v>231</v>
      </c>
      <c r="D9" s="81" t="s">
        <v>228</v>
      </c>
      <c r="E9" s="81">
        <v>2.54</v>
      </c>
      <c r="F9" s="81" t="s">
        <v>235</v>
      </c>
    </row>
    <row r="10" spans="1:6" x14ac:dyDescent="0.25">
      <c r="A10" s="80">
        <v>46089.050891203704</v>
      </c>
      <c r="B10" s="81" t="s">
        <v>227</v>
      </c>
      <c r="C10" s="81" t="s">
        <v>1318</v>
      </c>
      <c r="D10" s="81" t="s">
        <v>228</v>
      </c>
      <c r="E10" s="81">
        <v>0</v>
      </c>
      <c r="F10" s="81" t="s">
        <v>235</v>
      </c>
    </row>
    <row r="11" spans="1:6" x14ac:dyDescent="0.25">
      <c r="A11" s="80">
        <v>46089.050949074073</v>
      </c>
      <c r="B11" s="81" t="s">
        <v>1395</v>
      </c>
      <c r="C11" s="81" t="s">
        <v>1111</v>
      </c>
      <c r="D11" s="81" t="s">
        <v>228</v>
      </c>
      <c r="E11" s="81">
        <v>0</v>
      </c>
      <c r="F11" s="81" t="s">
        <v>235</v>
      </c>
    </row>
    <row r="12" spans="1:6" x14ac:dyDescent="0.25">
      <c r="A12" s="80">
        <v>46089.101180555554</v>
      </c>
      <c r="B12" s="81" t="s">
        <v>227</v>
      </c>
      <c r="C12" s="81" t="s">
        <v>1318</v>
      </c>
      <c r="D12" s="81" t="s">
        <v>228</v>
      </c>
      <c r="E12" s="81">
        <v>0</v>
      </c>
      <c r="F12" s="81" t="s">
        <v>235</v>
      </c>
    </row>
    <row r="13" spans="1:6" x14ac:dyDescent="0.25">
      <c r="A13" s="80">
        <v>46089.101180555554</v>
      </c>
      <c r="B13" s="81" t="s">
        <v>1395</v>
      </c>
      <c r="C13" s="81" t="s">
        <v>1111</v>
      </c>
      <c r="D13" s="81" t="s">
        <v>228</v>
      </c>
      <c r="E13" s="81">
        <v>0</v>
      </c>
      <c r="F13" s="81" t="s">
        <v>235</v>
      </c>
    </row>
    <row r="14" spans="1:6" x14ac:dyDescent="0.25">
      <c r="A14" s="80">
        <v>46089.102731481478</v>
      </c>
      <c r="B14" s="81" t="s">
        <v>227</v>
      </c>
      <c r="C14" s="81" t="s">
        <v>1318</v>
      </c>
      <c r="D14" s="81" t="s">
        <v>228</v>
      </c>
      <c r="E14" s="81">
        <v>0</v>
      </c>
      <c r="F14" s="81" t="s">
        <v>235</v>
      </c>
    </row>
    <row r="15" spans="1:6" x14ac:dyDescent="0.25">
      <c r="A15" s="80">
        <v>46089.102731481478</v>
      </c>
      <c r="B15" s="81" t="s">
        <v>1395</v>
      </c>
      <c r="C15" s="81" t="s">
        <v>1111</v>
      </c>
      <c r="D15" s="81" t="s">
        <v>228</v>
      </c>
      <c r="E15" s="81">
        <v>0</v>
      </c>
      <c r="F15" s="81" t="s">
        <v>235</v>
      </c>
    </row>
    <row r="16" spans="1:6" x14ac:dyDescent="0.25">
      <c r="A16" s="80">
        <v>46092.938032407408</v>
      </c>
      <c r="B16" s="81" t="s">
        <v>227</v>
      </c>
      <c r="C16" s="81" t="s">
        <v>1318</v>
      </c>
      <c r="D16" s="81" t="s">
        <v>228</v>
      </c>
      <c r="E16" s="81">
        <v>0</v>
      </c>
      <c r="F16" s="81" t="s">
        <v>235</v>
      </c>
    </row>
    <row r="17" spans="1:6" x14ac:dyDescent="0.25">
      <c r="A17" s="80">
        <v>46092.938032407408</v>
      </c>
      <c r="B17" s="81" t="s">
        <v>1395</v>
      </c>
      <c r="C17" s="81" t="s">
        <v>1111</v>
      </c>
      <c r="D17" s="81" t="s">
        <v>228</v>
      </c>
      <c r="E17" s="81">
        <v>0</v>
      </c>
      <c r="F17" s="81" t="s">
        <v>235</v>
      </c>
    </row>
    <row r="18" spans="1:6" x14ac:dyDescent="0.25">
      <c r="A18" s="80">
        <v>46092.949328703704</v>
      </c>
      <c r="B18" s="81" t="s">
        <v>227</v>
      </c>
      <c r="C18" s="81" t="s">
        <v>1318</v>
      </c>
      <c r="D18" s="81" t="s">
        <v>228</v>
      </c>
      <c r="E18" s="81">
        <v>0</v>
      </c>
      <c r="F18" s="81" t="s">
        <v>235</v>
      </c>
    </row>
    <row r="19" spans="1:6" x14ac:dyDescent="0.25">
      <c r="A19" s="80">
        <v>46092.949328703704</v>
      </c>
      <c r="B19" s="81" t="s">
        <v>1395</v>
      </c>
      <c r="C19" s="81" t="s">
        <v>1111</v>
      </c>
      <c r="D19" s="81" t="s">
        <v>228</v>
      </c>
      <c r="E19" s="81">
        <v>0</v>
      </c>
      <c r="F19" s="81" t="s">
        <v>235</v>
      </c>
    </row>
    <row r="20" spans="1:6" x14ac:dyDescent="0.25">
      <c r="A20" s="80">
        <v>46092.959398148145</v>
      </c>
      <c r="B20" s="81" t="s">
        <v>227</v>
      </c>
      <c r="C20" s="81" t="s">
        <v>1318</v>
      </c>
      <c r="D20" s="81" t="s">
        <v>228</v>
      </c>
      <c r="E20" s="81">
        <v>0</v>
      </c>
      <c r="F20" s="81" t="s">
        <v>235</v>
      </c>
    </row>
    <row r="21" spans="1:6" x14ac:dyDescent="0.25">
      <c r="A21" s="80">
        <v>46092.959814814814</v>
      </c>
      <c r="B21" s="81" t="s">
        <v>227</v>
      </c>
      <c r="C21" s="81" t="s">
        <v>1318</v>
      </c>
      <c r="D21" s="81" t="s">
        <v>228</v>
      </c>
      <c r="E21" s="81">
        <v>0</v>
      </c>
      <c r="F21" s="81" t="s">
        <v>235</v>
      </c>
    </row>
    <row r="22" spans="1:6" x14ac:dyDescent="0.25">
      <c r="A22" s="80">
        <v>46092.959814814814</v>
      </c>
      <c r="B22" s="81" t="s">
        <v>1395</v>
      </c>
      <c r="C22" s="81" t="s">
        <v>1111</v>
      </c>
      <c r="D22" s="81" t="s">
        <v>228</v>
      </c>
      <c r="E22" s="81">
        <v>0</v>
      </c>
      <c r="F22" s="81" t="s">
        <v>235</v>
      </c>
    </row>
    <row r="23" spans="1:6" x14ac:dyDescent="0.25">
      <c r="A23" s="80">
        <v>46092.96503472222</v>
      </c>
      <c r="B23" s="81" t="s">
        <v>227</v>
      </c>
      <c r="C23" s="81" t="s">
        <v>1318</v>
      </c>
      <c r="D23" s="81" t="s">
        <v>228</v>
      </c>
      <c r="E23" s="81">
        <v>0</v>
      </c>
      <c r="F23" s="81" t="s">
        <v>235</v>
      </c>
    </row>
    <row r="24" spans="1:6" x14ac:dyDescent="0.25">
      <c r="A24" s="80">
        <v>46092.966956018521</v>
      </c>
      <c r="B24" s="81" t="s">
        <v>227</v>
      </c>
      <c r="C24" s="81" t="s">
        <v>1318</v>
      </c>
      <c r="D24" s="81" t="s">
        <v>228</v>
      </c>
      <c r="E24" s="81">
        <v>0</v>
      </c>
      <c r="F24" s="81" t="s">
        <v>235</v>
      </c>
    </row>
    <row r="25" spans="1:6" x14ac:dyDescent="0.25">
      <c r="A25" s="80">
        <v>46092.966956018521</v>
      </c>
      <c r="B25" s="81" t="s">
        <v>1395</v>
      </c>
      <c r="C25" s="81" t="s">
        <v>1111</v>
      </c>
      <c r="D25" s="81" t="s">
        <v>228</v>
      </c>
      <c r="E25" s="81">
        <v>0</v>
      </c>
      <c r="F25" s="81" t="s">
        <v>235</v>
      </c>
    </row>
    <row r="26" spans="1:6" x14ac:dyDescent="0.25">
      <c r="A26" s="80">
        <v>46092.96733796296</v>
      </c>
      <c r="B26" s="81" t="s">
        <v>227</v>
      </c>
      <c r="C26" s="81" t="s">
        <v>1318</v>
      </c>
      <c r="D26" s="81" t="s">
        <v>228</v>
      </c>
      <c r="E26" s="81">
        <v>0</v>
      </c>
      <c r="F26" s="81" t="s">
        <v>235</v>
      </c>
    </row>
    <row r="27" spans="1:6" x14ac:dyDescent="0.25">
      <c r="A27" s="80">
        <v>46092.970543981479</v>
      </c>
      <c r="B27" s="81" t="s">
        <v>227</v>
      </c>
      <c r="C27" s="81" t="s">
        <v>1318</v>
      </c>
      <c r="D27" s="81" t="s">
        <v>228</v>
      </c>
      <c r="E27" s="81">
        <v>0</v>
      </c>
      <c r="F27" s="81" t="s">
        <v>235</v>
      </c>
    </row>
    <row r="28" spans="1:6" x14ac:dyDescent="0.25">
      <c r="A28" s="80">
        <v>46092.975671296299</v>
      </c>
      <c r="B28" s="81" t="s">
        <v>227</v>
      </c>
      <c r="C28" s="81" t="s">
        <v>1318</v>
      </c>
      <c r="D28" s="81" t="s">
        <v>228</v>
      </c>
      <c r="E28" s="81">
        <v>0</v>
      </c>
      <c r="F28" s="81" t="s">
        <v>235</v>
      </c>
    </row>
    <row r="29" spans="1:6" x14ac:dyDescent="0.25">
      <c r="A29" s="80">
        <v>46092.994837962964</v>
      </c>
      <c r="B29" s="81" t="s">
        <v>227</v>
      </c>
      <c r="C29" s="81" t="s">
        <v>1318</v>
      </c>
      <c r="D29" s="81" t="s">
        <v>228</v>
      </c>
      <c r="E29" s="81">
        <v>0</v>
      </c>
      <c r="F29" s="81" t="s">
        <v>235</v>
      </c>
    </row>
    <row r="30" spans="1:6" x14ac:dyDescent="0.25">
      <c r="A30" s="80">
        <v>46117.959062499998</v>
      </c>
      <c r="B30" s="81" t="s">
        <v>227</v>
      </c>
      <c r="C30" s="81" t="s">
        <v>1318</v>
      </c>
      <c r="D30" s="81" t="s">
        <v>228</v>
      </c>
      <c r="E30" s="81">
        <v>0</v>
      </c>
      <c r="F30" s="81" t="s">
        <v>235</v>
      </c>
    </row>
    <row r="31" spans="1:6" x14ac:dyDescent="0.25">
      <c r="A31" s="80">
        <v>46117.959467592591</v>
      </c>
      <c r="B31" s="81" t="s">
        <v>227</v>
      </c>
      <c r="C31" s="81" t="s">
        <v>1318</v>
      </c>
      <c r="D31" s="81" t="s">
        <v>228</v>
      </c>
      <c r="E31" s="81">
        <v>0</v>
      </c>
      <c r="F31" s="81" t="s">
        <v>235</v>
      </c>
    </row>
    <row r="32" spans="1:6" x14ac:dyDescent="0.25">
      <c r="A32" s="80">
        <v>46117.96292824074</v>
      </c>
      <c r="B32" s="81" t="s">
        <v>227</v>
      </c>
      <c r="C32" s="81" t="s">
        <v>1318</v>
      </c>
      <c r="D32" s="81" t="s">
        <v>228</v>
      </c>
      <c r="E32" s="81">
        <v>0</v>
      </c>
      <c r="F32" s="81" t="s">
        <v>235</v>
      </c>
    </row>
    <row r="33" spans="1:6" x14ac:dyDescent="0.25">
      <c r="A33" s="80">
        <v>46117.96292824074</v>
      </c>
      <c r="B33" s="81" t="s">
        <v>1395</v>
      </c>
      <c r="C33" s="81" t="s">
        <v>1111</v>
      </c>
      <c r="D33" s="81" t="s">
        <v>228</v>
      </c>
      <c r="E33" s="81">
        <v>0</v>
      </c>
      <c r="F33" s="81" t="s">
        <v>235</v>
      </c>
    </row>
    <row r="34" spans="1:6" x14ac:dyDescent="0.25">
      <c r="A34" s="78">
        <v>46117.964942129627</v>
      </c>
      <c r="B34" s="79" t="s">
        <v>229</v>
      </c>
      <c r="C34" s="79" t="s">
        <v>230</v>
      </c>
      <c r="D34" s="79" t="s">
        <v>226</v>
      </c>
      <c r="E34" s="79">
        <v>83371.12</v>
      </c>
      <c r="F34" s="79" t="s">
        <v>235</v>
      </c>
    </row>
    <row r="35" spans="1:6" x14ac:dyDescent="0.25">
      <c r="A35" s="80">
        <v>46117.964988425927</v>
      </c>
      <c r="B35" s="81" t="s">
        <v>229</v>
      </c>
      <c r="C35" s="81" t="s">
        <v>231</v>
      </c>
      <c r="D35" s="81" t="s">
        <v>228</v>
      </c>
      <c r="E35" s="81">
        <v>4.22</v>
      </c>
      <c r="F35" s="81" t="s">
        <v>235</v>
      </c>
    </row>
    <row r="36" spans="1:6" x14ac:dyDescent="0.25">
      <c r="A36" s="80">
        <v>46117.968171296299</v>
      </c>
      <c r="B36" s="81" t="s">
        <v>227</v>
      </c>
      <c r="C36" s="81" t="s">
        <v>1318</v>
      </c>
      <c r="D36" s="81" t="s">
        <v>228</v>
      </c>
      <c r="E36" s="81">
        <v>0</v>
      </c>
      <c r="F36" s="81" t="s">
        <v>235</v>
      </c>
    </row>
    <row r="37" spans="1:6" x14ac:dyDescent="0.25">
      <c r="A37" s="80">
        <v>46117.968171296299</v>
      </c>
      <c r="B37" s="81" t="s">
        <v>1395</v>
      </c>
      <c r="C37" s="81" t="s">
        <v>1111</v>
      </c>
      <c r="D37" s="81" t="s">
        <v>228</v>
      </c>
      <c r="E37" s="81">
        <v>0</v>
      </c>
      <c r="F37" s="81" t="s">
        <v>235</v>
      </c>
    </row>
    <row r="38" spans="1:6" x14ac:dyDescent="0.25">
      <c r="A38" s="80">
        <v>46118.022685185184</v>
      </c>
      <c r="B38" s="81" t="s">
        <v>227</v>
      </c>
      <c r="C38" s="81" t="s">
        <v>1318</v>
      </c>
      <c r="D38" s="81" t="s">
        <v>228</v>
      </c>
      <c r="E38" s="81">
        <v>0</v>
      </c>
      <c r="F38" s="81" t="s">
        <v>235</v>
      </c>
    </row>
    <row r="39" spans="1:6" x14ac:dyDescent="0.25">
      <c r="A39" s="80">
        <v>46118.024155092593</v>
      </c>
      <c r="B39" s="81" t="s">
        <v>227</v>
      </c>
      <c r="C39" s="81" t="s">
        <v>1318</v>
      </c>
      <c r="D39" s="81" t="s">
        <v>228</v>
      </c>
      <c r="E39" s="81">
        <v>0</v>
      </c>
      <c r="F39" s="81" t="s">
        <v>235</v>
      </c>
    </row>
    <row r="40" spans="1:6" x14ac:dyDescent="0.25">
      <c r="A40" s="80">
        <v>46118.024907407409</v>
      </c>
      <c r="B40" s="81" t="s">
        <v>227</v>
      </c>
      <c r="C40" s="81" t="s">
        <v>1318</v>
      </c>
      <c r="D40" s="81" t="s">
        <v>228</v>
      </c>
      <c r="E40" s="81">
        <v>0</v>
      </c>
      <c r="F40" s="81" t="s">
        <v>235</v>
      </c>
    </row>
    <row r="41" spans="1:6" x14ac:dyDescent="0.25">
      <c r="A41" s="80">
        <v>46118.024907407409</v>
      </c>
      <c r="B41" s="81" t="s">
        <v>1395</v>
      </c>
      <c r="C41" s="81" t="s">
        <v>1111</v>
      </c>
      <c r="D41" s="81" t="s">
        <v>228</v>
      </c>
      <c r="E41" s="81">
        <v>0</v>
      </c>
      <c r="F41" s="81" t="s">
        <v>235</v>
      </c>
    </row>
    <row r="42" spans="1:6" x14ac:dyDescent="0.25">
      <c r="A42" s="78">
        <v>46118.025312500002</v>
      </c>
      <c r="B42" s="79" t="s">
        <v>229</v>
      </c>
      <c r="C42" s="79" t="s">
        <v>230</v>
      </c>
      <c r="D42" s="79" t="s">
        <v>226</v>
      </c>
      <c r="E42" s="79">
        <v>2187.0500000000002</v>
      </c>
      <c r="F42" s="79" t="s">
        <v>235</v>
      </c>
    </row>
    <row r="43" spans="1:6" x14ac:dyDescent="0.25">
      <c r="A43" s="80">
        <v>46118.025937500002</v>
      </c>
      <c r="B43" s="81" t="s">
        <v>229</v>
      </c>
      <c r="C43" s="81" t="s">
        <v>231</v>
      </c>
      <c r="D43" s="81" t="s">
        <v>228</v>
      </c>
      <c r="E43" s="81">
        <v>54.91</v>
      </c>
      <c r="F43" s="81" t="s">
        <v>235</v>
      </c>
    </row>
    <row r="44" spans="1:6" x14ac:dyDescent="0.25">
      <c r="A44" s="80">
        <v>46118.032083333332</v>
      </c>
      <c r="B44" s="81" t="s">
        <v>227</v>
      </c>
      <c r="C44" s="81" t="s">
        <v>1318</v>
      </c>
      <c r="D44" s="81" t="s">
        <v>228</v>
      </c>
      <c r="E44" s="81">
        <v>0</v>
      </c>
      <c r="F44" s="81" t="s">
        <v>235</v>
      </c>
    </row>
    <row r="45" spans="1:6" x14ac:dyDescent="0.25">
      <c r="A45" s="80">
        <v>46118.033078703702</v>
      </c>
      <c r="B45" s="81" t="s">
        <v>227</v>
      </c>
      <c r="C45" s="81" t="s">
        <v>1318</v>
      </c>
      <c r="D45" s="81" t="s">
        <v>228</v>
      </c>
      <c r="E45" s="81">
        <v>0</v>
      </c>
      <c r="F45" s="81" t="s">
        <v>235</v>
      </c>
    </row>
    <row r="46" spans="1:6" x14ac:dyDescent="0.25">
      <c r="A46" s="80">
        <v>46118.035115740742</v>
      </c>
      <c r="B46" s="81" t="s">
        <v>227</v>
      </c>
      <c r="C46" s="81" t="s">
        <v>1318</v>
      </c>
      <c r="D46" s="81" t="s">
        <v>228</v>
      </c>
      <c r="E46" s="81">
        <v>0</v>
      </c>
      <c r="F46" s="81" t="s">
        <v>235</v>
      </c>
    </row>
    <row r="47" spans="1:6" x14ac:dyDescent="0.25">
      <c r="A47" s="80">
        <v>46118.035115740742</v>
      </c>
      <c r="B47" s="81" t="s">
        <v>1395</v>
      </c>
      <c r="C47" s="81" t="s">
        <v>1111</v>
      </c>
      <c r="D47" s="81" t="s">
        <v>228</v>
      </c>
      <c r="E47" s="81">
        <v>0</v>
      </c>
      <c r="F47" s="81" t="s">
        <v>235</v>
      </c>
    </row>
    <row r="48" spans="1:6" x14ac:dyDescent="0.25">
      <c r="A48" s="80">
        <v>46118.052129629628</v>
      </c>
      <c r="B48" s="81" t="s">
        <v>227</v>
      </c>
      <c r="C48" s="81" t="s">
        <v>1318</v>
      </c>
      <c r="D48" s="81" t="s">
        <v>228</v>
      </c>
      <c r="E48" s="81">
        <v>0</v>
      </c>
      <c r="F48" s="81" t="s">
        <v>235</v>
      </c>
    </row>
    <row r="49" spans="1:6" x14ac:dyDescent="0.25">
      <c r="A49" s="80">
        <v>46118.052986111114</v>
      </c>
      <c r="B49" s="81" t="s">
        <v>227</v>
      </c>
      <c r="C49" s="81" t="s">
        <v>1318</v>
      </c>
      <c r="D49" s="81" t="s">
        <v>228</v>
      </c>
      <c r="E49" s="81">
        <v>0</v>
      </c>
      <c r="F49" s="81" t="s">
        <v>235</v>
      </c>
    </row>
    <row r="50" spans="1:6" x14ac:dyDescent="0.25">
      <c r="A50" s="80">
        <v>46118.052986111114</v>
      </c>
      <c r="B50" s="81" t="s">
        <v>1395</v>
      </c>
      <c r="C50" s="81" t="s">
        <v>1111</v>
      </c>
      <c r="D50" s="81" t="s">
        <v>228</v>
      </c>
      <c r="E50" s="81">
        <v>0</v>
      </c>
      <c r="F50" s="81" t="s">
        <v>235</v>
      </c>
    </row>
    <row r="51" spans="1:6" x14ac:dyDescent="0.25">
      <c r="A51" s="80">
        <v>46118.075891203705</v>
      </c>
      <c r="B51" s="81" t="s">
        <v>227</v>
      </c>
      <c r="C51" s="81" t="s">
        <v>1318</v>
      </c>
      <c r="D51" s="81" t="s">
        <v>228</v>
      </c>
      <c r="E51" s="81">
        <v>0</v>
      </c>
      <c r="F51" s="81" t="s">
        <v>235</v>
      </c>
    </row>
    <row r="52" spans="1:6" x14ac:dyDescent="0.25">
      <c r="A52" s="80">
        <v>46118.075891203705</v>
      </c>
      <c r="B52" s="81" t="s">
        <v>1395</v>
      </c>
      <c r="C52" s="81" t="s">
        <v>1111</v>
      </c>
      <c r="D52" s="81" t="s">
        <v>228</v>
      </c>
      <c r="E52" s="81">
        <v>0</v>
      </c>
      <c r="F52" s="81" t="s">
        <v>235</v>
      </c>
    </row>
    <row r="53" spans="1:6" x14ac:dyDescent="0.25">
      <c r="A53" s="80">
        <v>46119.898344907408</v>
      </c>
      <c r="B53" s="81" t="s">
        <v>227</v>
      </c>
      <c r="C53" s="81" t="s">
        <v>1318</v>
      </c>
      <c r="D53" s="81" t="s">
        <v>228</v>
      </c>
      <c r="E53" s="81">
        <v>0</v>
      </c>
      <c r="F53" s="81" t="s">
        <v>235</v>
      </c>
    </row>
    <row r="54" spans="1:6" x14ac:dyDescent="0.25">
      <c r="A54" s="80">
        <v>46119.898344907408</v>
      </c>
      <c r="B54" s="81" t="s">
        <v>1395</v>
      </c>
      <c r="C54" s="81" t="s">
        <v>1111</v>
      </c>
      <c r="D54" s="81" t="s">
        <v>228</v>
      </c>
      <c r="E54" s="81">
        <v>0</v>
      </c>
      <c r="F54" s="81" t="s">
        <v>235</v>
      </c>
    </row>
    <row r="55" spans="1:6" x14ac:dyDescent="0.25">
      <c r="A55" s="80">
        <v>46119.928402777776</v>
      </c>
      <c r="B55" s="81" t="s">
        <v>227</v>
      </c>
      <c r="C55" s="81" t="s">
        <v>1318</v>
      </c>
      <c r="D55" s="81" t="s">
        <v>228</v>
      </c>
      <c r="E55" s="81">
        <v>0</v>
      </c>
      <c r="F55" s="81" t="s">
        <v>235</v>
      </c>
    </row>
    <row r="56" spans="1:6" x14ac:dyDescent="0.25">
      <c r="A56" s="80">
        <v>46119.928402777776</v>
      </c>
      <c r="B56" s="81" t="s">
        <v>1395</v>
      </c>
      <c r="C56" s="81" t="s">
        <v>1111</v>
      </c>
      <c r="D56" s="81" t="s">
        <v>228</v>
      </c>
      <c r="E56" s="81">
        <v>0</v>
      </c>
      <c r="F56" s="81" t="s">
        <v>235</v>
      </c>
    </row>
    <row r="57" spans="1:6" x14ac:dyDescent="0.25">
      <c r="A57" s="80">
        <v>46119.939756944441</v>
      </c>
      <c r="B57" s="81" t="s">
        <v>227</v>
      </c>
      <c r="C57" s="81" t="s">
        <v>1318</v>
      </c>
      <c r="D57" s="81" t="s">
        <v>228</v>
      </c>
      <c r="E57" s="81">
        <v>0</v>
      </c>
      <c r="F57" s="81" t="s">
        <v>235</v>
      </c>
    </row>
    <row r="58" spans="1:6" x14ac:dyDescent="0.25">
      <c r="A58" s="80">
        <v>46119.939756944441</v>
      </c>
      <c r="B58" s="81" t="s">
        <v>1395</v>
      </c>
      <c r="C58" s="81" t="s">
        <v>1111</v>
      </c>
      <c r="D58" s="81" t="s">
        <v>228</v>
      </c>
      <c r="E58" s="81">
        <v>0</v>
      </c>
      <c r="F58" s="81" t="s">
        <v>235</v>
      </c>
    </row>
    <row r="59" spans="1:6" x14ac:dyDescent="0.25">
      <c r="A59" s="80">
        <v>46119.942766203705</v>
      </c>
      <c r="B59" s="81" t="s">
        <v>227</v>
      </c>
      <c r="C59" s="81" t="s">
        <v>1318</v>
      </c>
      <c r="D59" s="81" t="s">
        <v>228</v>
      </c>
      <c r="E59" s="81">
        <v>0</v>
      </c>
      <c r="F59" s="81" t="s">
        <v>235</v>
      </c>
    </row>
    <row r="60" spans="1:6" x14ac:dyDescent="0.25">
      <c r="A60" s="80">
        <v>46119.942766203705</v>
      </c>
      <c r="B60" s="81" t="s">
        <v>1395</v>
      </c>
      <c r="C60" s="81" t="s">
        <v>1111</v>
      </c>
      <c r="D60" s="81" t="s">
        <v>228</v>
      </c>
      <c r="E60" s="81">
        <v>0</v>
      </c>
      <c r="F60" s="81" t="s">
        <v>235</v>
      </c>
    </row>
    <row r="61" spans="1:6" x14ac:dyDescent="0.25">
      <c r="A61" s="80">
        <v>46119.944884259261</v>
      </c>
      <c r="B61" s="81" t="s">
        <v>227</v>
      </c>
      <c r="C61" s="81" t="s">
        <v>1318</v>
      </c>
      <c r="D61" s="81" t="s">
        <v>228</v>
      </c>
      <c r="E61" s="81">
        <v>0</v>
      </c>
      <c r="F61" s="81" t="s">
        <v>235</v>
      </c>
    </row>
    <row r="62" spans="1:6" x14ac:dyDescent="0.25">
      <c r="A62" s="80">
        <v>46119.944884259261</v>
      </c>
      <c r="B62" s="81" t="s">
        <v>1395</v>
      </c>
      <c r="C62" s="81" t="s">
        <v>1111</v>
      </c>
      <c r="D62" s="81" t="s">
        <v>228</v>
      </c>
      <c r="E62" s="81">
        <v>0</v>
      </c>
      <c r="F62" s="81" t="s">
        <v>235</v>
      </c>
    </row>
    <row r="63" spans="1:6" x14ac:dyDescent="0.25">
      <c r="A63" s="80">
        <v>46119.95207175926</v>
      </c>
      <c r="B63" s="81" t="s">
        <v>227</v>
      </c>
      <c r="C63" s="81" t="s">
        <v>1318</v>
      </c>
      <c r="D63" s="81" t="s">
        <v>228</v>
      </c>
      <c r="E63" s="81">
        <v>0</v>
      </c>
      <c r="F63" s="81" t="s">
        <v>235</v>
      </c>
    </row>
    <row r="64" spans="1:6" x14ac:dyDescent="0.25">
      <c r="A64" s="80">
        <v>46119.95207175926</v>
      </c>
      <c r="B64" s="81" t="s">
        <v>1395</v>
      </c>
      <c r="C64" s="81" t="s">
        <v>1111</v>
      </c>
      <c r="D64" s="81" t="s">
        <v>228</v>
      </c>
      <c r="E64" s="81">
        <v>0</v>
      </c>
      <c r="F64" s="81" t="s">
        <v>235</v>
      </c>
    </row>
    <row r="65" spans="1:6" x14ac:dyDescent="0.25">
      <c r="A65" s="80">
        <v>46119.960509259261</v>
      </c>
      <c r="B65" s="81" t="s">
        <v>227</v>
      </c>
      <c r="C65" s="81" t="s">
        <v>1318</v>
      </c>
      <c r="D65" s="81" t="s">
        <v>228</v>
      </c>
      <c r="E65" s="81">
        <v>0</v>
      </c>
      <c r="F65" s="81" t="s">
        <v>235</v>
      </c>
    </row>
    <row r="66" spans="1:6" x14ac:dyDescent="0.25">
      <c r="A66" s="80">
        <v>46119.960509259261</v>
      </c>
      <c r="B66" s="81" t="s">
        <v>1395</v>
      </c>
      <c r="C66" s="81" t="s">
        <v>1111</v>
      </c>
      <c r="D66" s="81" t="s">
        <v>228</v>
      </c>
      <c r="E66" s="81">
        <v>0</v>
      </c>
      <c r="F66" s="81" t="s">
        <v>235</v>
      </c>
    </row>
    <row r="67" spans="1:6" x14ac:dyDescent="0.25">
      <c r="A67" s="80">
        <v>46119.962476851855</v>
      </c>
      <c r="B67" s="81" t="s">
        <v>227</v>
      </c>
      <c r="C67" s="81" t="s">
        <v>1318</v>
      </c>
      <c r="D67" s="81" t="s">
        <v>228</v>
      </c>
      <c r="E67" s="81">
        <v>0</v>
      </c>
      <c r="F67" s="81" t="s">
        <v>235</v>
      </c>
    </row>
    <row r="68" spans="1:6" x14ac:dyDescent="0.25">
      <c r="A68" s="80">
        <v>46119.962476851855</v>
      </c>
      <c r="B68" s="81" t="s">
        <v>1395</v>
      </c>
      <c r="C68" s="81" t="s">
        <v>1111</v>
      </c>
      <c r="D68" s="81" t="s">
        <v>228</v>
      </c>
      <c r="E68" s="81">
        <v>0</v>
      </c>
      <c r="F68" s="81" t="s">
        <v>235</v>
      </c>
    </row>
    <row r="69" spans="1:6" x14ac:dyDescent="0.25">
      <c r="A69" s="80">
        <v>46119.969814814816</v>
      </c>
      <c r="B69" s="81" t="s">
        <v>227</v>
      </c>
      <c r="C69" s="81" t="s">
        <v>1318</v>
      </c>
      <c r="D69" s="81" t="s">
        <v>228</v>
      </c>
      <c r="E69" s="81">
        <v>0</v>
      </c>
      <c r="F69" s="81" t="s">
        <v>235</v>
      </c>
    </row>
    <row r="70" spans="1:6" x14ac:dyDescent="0.25">
      <c r="A70" s="80">
        <v>46120.001226851855</v>
      </c>
      <c r="B70" s="81" t="s">
        <v>227</v>
      </c>
      <c r="C70" s="81" t="s">
        <v>1318</v>
      </c>
      <c r="D70" s="81" t="s">
        <v>228</v>
      </c>
      <c r="E70" s="81">
        <v>0</v>
      </c>
      <c r="F70" s="81" t="s">
        <v>235</v>
      </c>
    </row>
    <row r="71" spans="1:6" x14ac:dyDescent="0.25">
      <c r="A71" s="80">
        <v>46120.001226851855</v>
      </c>
      <c r="B71" s="81" t="s">
        <v>1395</v>
      </c>
      <c r="C71" s="81" t="s">
        <v>1111</v>
      </c>
      <c r="D71" s="81" t="s">
        <v>228</v>
      </c>
      <c r="E71" s="81">
        <v>0</v>
      </c>
      <c r="F71" s="81" t="s">
        <v>235</v>
      </c>
    </row>
    <row r="72" spans="1:6" x14ac:dyDescent="0.25">
      <c r="A72" s="80">
        <v>46120.005752314813</v>
      </c>
      <c r="B72" s="81" t="s">
        <v>227</v>
      </c>
      <c r="C72" s="81" t="s">
        <v>1318</v>
      </c>
      <c r="D72" s="81" t="s">
        <v>228</v>
      </c>
      <c r="E72" s="81">
        <v>0</v>
      </c>
      <c r="F72" s="81" t="s">
        <v>235</v>
      </c>
    </row>
    <row r="73" spans="1:6" x14ac:dyDescent="0.25">
      <c r="A73" s="80">
        <v>46120.005752314813</v>
      </c>
      <c r="B73" s="81" t="s">
        <v>1395</v>
      </c>
      <c r="C73" s="81" t="s">
        <v>1111</v>
      </c>
      <c r="D73" s="81" t="s">
        <v>228</v>
      </c>
      <c r="E73" s="81">
        <v>0</v>
      </c>
      <c r="F73" s="81" t="s">
        <v>235</v>
      </c>
    </row>
    <row r="74" spans="1:6" x14ac:dyDescent="0.25">
      <c r="A74" s="80">
        <v>46120.006076388891</v>
      </c>
      <c r="B74" s="81" t="s">
        <v>227</v>
      </c>
      <c r="C74" s="81" t="s">
        <v>1318</v>
      </c>
      <c r="D74" s="81" t="s">
        <v>228</v>
      </c>
      <c r="E74" s="81">
        <v>0</v>
      </c>
      <c r="F74" s="81" t="s">
        <v>235</v>
      </c>
    </row>
    <row r="75" spans="1:6" x14ac:dyDescent="0.25">
      <c r="A75" s="80">
        <v>46120.006076388891</v>
      </c>
      <c r="B75" s="81" t="s">
        <v>1395</v>
      </c>
      <c r="C75" s="81" t="s">
        <v>1111</v>
      </c>
      <c r="D75" s="81" t="s">
        <v>228</v>
      </c>
      <c r="E75" s="81">
        <v>0</v>
      </c>
      <c r="F75" s="81" t="s">
        <v>235</v>
      </c>
    </row>
    <row r="76" spans="1:6" x14ac:dyDescent="0.25">
      <c r="A76" s="80">
        <v>46121.986979166664</v>
      </c>
      <c r="B76" s="81" t="s">
        <v>227</v>
      </c>
      <c r="C76" s="81" t="s">
        <v>1318</v>
      </c>
      <c r="D76" s="81" t="s">
        <v>228</v>
      </c>
      <c r="E76" s="81">
        <v>0</v>
      </c>
      <c r="F76" s="81" t="s">
        <v>235</v>
      </c>
    </row>
    <row r="77" spans="1:6" x14ac:dyDescent="0.25">
      <c r="A77" s="80">
        <v>46121.994409722225</v>
      </c>
      <c r="B77" s="81" t="s">
        <v>227</v>
      </c>
      <c r="C77" s="81" t="s">
        <v>1318</v>
      </c>
      <c r="D77" s="81" t="s">
        <v>228</v>
      </c>
      <c r="E77" s="81">
        <v>0</v>
      </c>
      <c r="F77" s="81" t="s">
        <v>235</v>
      </c>
    </row>
    <row r="78" spans="1:6" x14ac:dyDescent="0.25">
      <c r="A78" s="80">
        <v>46121.994409722225</v>
      </c>
      <c r="B78" s="81" t="s">
        <v>1395</v>
      </c>
      <c r="C78" s="81" t="s">
        <v>1111</v>
      </c>
      <c r="D78" s="81" t="s">
        <v>228</v>
      </c>
      <c r="E78" s="81">
        <v>0</v>
      </c>
      <c r="F78" s="81" t="s">
        <v>235</v>
      </c>
    </row>
    <row r="79" spans="1:6" x14ac:dyDescent="0.25">
      <c r="A79" s="80">
        <v>46121.99858796296</v>
      </c>
      <c r="B79" s="81" t="s">
        <v>227</v>
      </c>
      <c r="C79" s="81" t="s">
        <v>1318</v>
      </c>
      <c r="D79" s="81" t="s">
        <v>228</v>
      </c>
      <c r="E79" s="81">
        <v>0</v>
      </c>
      <c r="F79" s="81" t="s">
        <v>235</v>
      </c>
    </row>
    <row r="80" spans="1:6" x14ac:dyDescent="0.25">
      <c r="A80" s="80">
        <v>46122.005127314813</v>
      </c>
      <c r="B80" s="81" t="s">
        <v>227</v>
      </c>
      <c r="C80" s="81" t="s">
        <v>1318</v>
      </c>
      <c r="D80" s="81" t="s">
        <v>228</v>
      </c>
      <c r="E80" s="81">
        <v>0</v>
      </c>
      <c r="F80" s="81" t="s">
        <v>235</v>
      </c>
    </row>
    <row r="81" spans="1:6" x14ac:dyDescent="0.25">
      <c r="A81" s="80">
        <v>46122.014317129629</v>
      </c>
      <c r="B81" s="81" t="s">
        <v>227</v>
      </c>
      <c r="C81" s="81" t="s">
        <v>1318</v>
      </c>
      <c r="D81" s="81" t="s">
        <v>228</v>
      </c>
      <c r="E81" s="81">
        <v>0</v>
      </c>
      <c r="F81" s="81" t="s">
        <v>235</v>
      </c>
    </row>
    <row r="82" spans="1:6" x14ac:dyDescent="0.25">
      <c r="A82" s="80">
        <v>46122.016759259262</v>
      </c>
      <c r="B82" s="81" t="s">
        <v>227</v>
      </c>
      <c r="C82" s="81" t="s">
        <v>1318</v>
      </c>
      <c r="D82" s="81" t="s">
        <v>228</v>
      </c>
      <c r="E82" s="81">
        <v>0</v>
      </c>
      <c r="F82" s="81" t="s">
        <v>235</v>
      </c>
    </row>
    <row r="83" spans="1:6" x14ac:dyDescent="0.25">
      <c r="A83" s="80">
        <v>46122.021226851852</v>
      </c>
      <c r="B83" s="81" t="s">
        <v>227</v>
      </c>
      <c r="C83" s="81" t="s">
        <v>1318</v>
      </c>
      <c r="D83" s="81" t="s">
        <v>228</v>
      </c>
      <c r="E83" s="81">
        <v>0</v>
      </c>
      <c r="F83" s="81" t="s">
        <v>235</v>
      </c>
    </row>
    <row r="84" spans="1:6" x14ac:dyDescent="0.25">
      <c r="A84" s="80">
        <v>46122.025856481479</v>
      </c>
      <c r="B84" s="81" t="s">
        <v>227</v>
      </c>
      <c r="C84" s="81" t="s">
        <v>1318</v>
      </c>
      <c r="D84" s="81" t="s">
        <v>228</v>
      </c>
      <c r="E84" s="81">
        <v>0</v>
      </c>
      <c r="F84" s="81" t="s">
        <v>235</v>
      </c>
    </row>
    <row r="85" spans="1:6" x14ac:dyDescent="0.25">
      <c r="A85" s="80">
        <v>46122.025856481479</v>
      </c>
      <c r="B85" s="81" t="s">
        <v>1395</v>
      </c>
      <c r="C85" s="81" t="s">
        <v>1111</v>
      </c>
      <c r="D85" s="81" t="s">
        <v>228</v>
      </c>
      <c r="E85" s="81">
        <v>0</v>
      </c>
      <c r="F85" s="81" t="s">
        <v>235</v>
      </c>
    </row>
    <row r="86" spans="1:6" x14ac:dyDescent="0.25">
      <c r="A86" s="80">
        <v>46122.030173611114</v>
      </c>
      <c r="B86" s="81" t="s">
        <v>227</v>
      </c>
      <c r="C86" s="81" t="s">
        <v>1318</v>
      </c>
      <c r="D86" s="81" t="s">
        <v>228</v>
      </c>
      <c r="E86" s="81">
        <v>0</v>
      </c>
      <c r="F86" s="81" t="s">
        <v>235</v>
      </c>
    </row>
    <row r="87" spans="1:6" x14ac:dyDescent="0.25">
      <c r="A87" s="80">
        <v>46122.036979166667</v>
      </c>
      <c r="B87" s="81" t="s">
        <v>227</v>
      </c>
      <c r="C87" s="81" t="s">
        <v>1318</v>
      </c>
      <c r="D87" s="81" t="s">
        <v>228</v>
      </c>
      <c r="E87" s="81">
        <v>0</v>
      </c>
      <c r="F87" s="81" t="s">
        <v>235</v>
      </c>
    </row>
    <row r="88" spans="1:6" x14ac:dyDescent="0.25">
      <c r="A88" s="80">
        <v>46122.042083333334</v>
      </c>
      <c r="B88" s="81" t="s">
        <v>227</v>
      </c>
      <c r="C88" s="81" t="s">
        <v>1318</v>
      </c>
      <c r="D88" s="81" t="s">
        <v>228</v>
      </c>
      <c r="E88" s="81">
        <v>0</v>
      </c>
      <c r="F88" s="81" t="s">
        <v>235</v>
      </c>
    </row>
    <row r="89" spans="1:6" x14ac:dyDescent="0.25">
      <c r="A89" s="80">
        <v>46122.042083333334</v>
      </c>
      <c r="B89" s="81" t="s">
        <v>1395</v>
      </c>
      <c r="C89" s="81" t="s">
        <v>1111</v>
      </c>
      <c r="D89" s="81" t="s">
        <v>228</v>
      </c>
      <c r="E89" s="81">
        <v>0</v>
      </c>
      <c r="F89" s="81" t="s">
        <v>235</v>
      </c>
    </row>
    <row r="90" spans="1:6" x14ac:dyDescent="0.25">
      <c r="A90" s="80">
        <v>46122.044803240744</v>
      </c>
      <c r="B90" s="81" t="s">
        <v>227</v>
      </c>
      <c r="C90" s="81" t="s">
        <v>1318</v>
      </c>
      <c r="D90" s="81" t="s">
        <v>228</v>
      </c>
      <c r="E90" s="81">
        <v>0</v>
      </c>
      <c r="F90" s="81" t="s">
        <v>235</v>
      </c>
    </row>
    <row r="91" spans="1:6" x14ac:dyDescent="0.25">
      <c r="A91" s="80">
        <v>46122.048356481479</v>
      </c>
      <c r="B91" s="81" t="s">
        <v>227</v>
      </c>
      <c r="C91" s="81" t="s">
        <v>1318</v>
      </c>
      <c r="D91" s="81" t="s">
        <v>228</v>
      </c>
      <c r="E91" s="81">
        <v>0</v>
      </c>
      <c r="F91" s="81" t="s">
        <v>235</v>
      </c>
    </row>
    <row r="92" spans="1:6" x14ac:dyDescent="0.25">
      <c r="A92" s="80">
        <v>46122.049097222225</v>
      </c>
      <c r="B92" s="81" t="s">
        <v>227</v>
      </c>
      <c r="C92" s="81" t="s">
        <v>1318</v>
      </c>
      <c r="D92" s="81" t="s">
        <v>228</v>
      </c>
      <c r="E92" s="81">
        <v>0</v>
      </c>
      <c r="F92" s="81" t="s">
        <v>235</v>
      </c>
    </row>
    <row r="93" spans="1:6" x14ac:dyDescent="0.25">
      <c r="A93" s="80">
        <v>46122.049097222225</v>
      </c>
      <c r="B93" s="81" t="s">
        <v>1395</v>
      </c>
      <c r="C93" s="81" t="s">
        <v>1111</v>
      </c>
      <c r="D93" s="81" t="s">
        <v>228</v>
      </c>
      <c r="E93" s="81">
        <v>0</v>
      </c>
      <c r="F93" s="81" t="s">
        <v>235</v>
      </c>
    </row>
    <row r="94" spans="1:6" x14ac:dyDescent="0.25">
      <c r="A94" s="80">
        <v>46122.051238425927</v>
      </c>
      <c r="B94" s="81" t="s">
        <v>227</v>
      </c>
      <c r="C94" s="81" t="s">
        <v>1318</v>
      </c>
      <c r="D94" s="81" t="s">
        <v>228</v>
      </c>
      <c r="E94" s="81">
        <v>0</v>
      </c>
      <c r="F94" s="81" t="s">
        <v>235</v>
      </c>
    </row>
    <row r="95" spans="1:6" x14ac:dyDescent="0.25">
      <c r="A95" s="80">
        <v>46122.05195601852</v>
      </c>
      <c r="B95" s="81" t="s">
        <v>227</v>
      </c>
      <c r="C95" s="81" t="s">
        <v>1318</v>
      </c>
      <c r="D95" s="81" t="s">
        <v>228</v>
      </c>
      <c r="E95" s="81">
        <v>0</v>
      </c>
      <c r="F95" s="81" t="s">
        <v>235</v>
      </c>
    </row>
    <row r="96" spans="1:6" x14ac:dyDescent="0.25">
      <c r="A96" s="80">
        <v>46122.05195601852</v>
      </c>
      <c r="B96" s="81" t="s">
        <v>1395</v>
      </c>
      <c r="C96" s="81" t="s">
        <v>1111</v>
      </c>
      <c r="D96" s="81" t="s">
        <v>228</v>
      </c>
      <c r="E96" s="81">
        <v>0</v>
      </c>
      <c r="F96" s="81" t="s">
        <v>235</v>
      </c>
    </row>
    <row r="97" spans="1:6" x14ac:dyDescent="0.25">
      <c r="A97" s="80">
        <v>46122.056435185186</v>
      </c>
      <c r="B97" s="81" t="s">
        <v>227</v>
      </c>
      <c r="C97" s="81" t="s">
        <v>1318</v>
      </c>
      <c r="D97" s="81" t="s">
        <v>228</v>
      </c>
      <c r="E97" s="81">
        <v>0</v>
      </c>
      <c r="F97" s="81" t="s">
        <v>235</v>
      </c>
    </row>
    <row r="98" spans="1:6" x14ac:dyDescent="0.25">
      <c r="A98" s="80">
        <v>46122.057210648149</v>
      </c>
      <c r="B98" s="81" t="s">
        <v>227</v>
      </c>
      <c r="C98" s="81" t="s">
        <v>1318</v>
      </c>
      <c r="D98" s="81" t="s">
        <v>228</v>
      </c>
      <c r="E98" s="81">
        <v>0</v>
      </c>
      <c r="F98" s="81" t="s">
        <v>235</v>
      </c>
    </row>
    <row r="99" spans="1:6" x14ac:dyDescent="0.25">
      <c r="A99" s="80">
        <v>46122.057673611111</v>
      </c>
      <c r="B99" s="81" t="s">
        <v>227</v>
      </c>
      <c r="C99" s="81" t="s">
        <v>1318</v>
      </c>
      <c r="D99" s="81" t="s">
        <v>228</v>
      </c>
      <c r="E99" s="81">
        <v>0</v>
      </c>
      <c r="F99" s="81" t="s">
        <v>235</v>
      </c>
    </row>
    <row r="100" spans="1:6" x14ac:dyDescent="0.25">
      <c r="A100" s="80">
        <v>46122.06417824074</v>
      </c>
      <c r="B100" s="81" t="s">
        <v>227</v>
      </c>
      <c r="C100" s="81" t="s">
        <v>1318</v>
      </c>
      <c r="D100" s="81" t="s">
        <v>228</v>
      </c>
      <c r="E100" s="81">
        <v>0</v>
      </c>
      <c r="F100" s="81" t="s">
        <v>235</v>
      </c>
    </row>
    <row r="101" spans="1:6" x14ac:dyDescent="0.25">
      <c r="A101" s="80">
        <v>46122.06417824074</v>
      </c>
      <c r="B101" s="81" t="s">
        <v>1395</v>
      </c>
      <c r="C101" s="81" t="s">
        <v>1111</v>
      </c>
      <c r="D101" s="81" t="s">
        <v>228</v>
      </c>
      <c r="E101" s="81">
        <v>0</v>
      </c>
      <c r="F101" s="81" t="s">
        <v>235</v>
      </c>
    </row>
  </sheetData>
  <pageMargins left="0.7" right="0.7" top="0.75" bottom="0.75" header="0.3" footer="0.3"/>
  <pageSetup paperSize="9" orientation="portrait" horizontalDpi="300" verticalDpi="0" copies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DF0CA-86AA-41C9-ADBC-B9DE0700D894}">
  <sheetPr codeName="Лист5"/>
  <dimension ref="A1:AG2"/>
  <sheetViews>
    <sheetView workbookViewId="0"/>
  </sheetViews>
  <sheetFormatPr defaultRowHeight="15" x14ac:dyDescent="0.25"/>
  <cols>
    <col min="2" max="2" width="12" customWidth="1"/>
    <col min="3" max="3" width="12.42578125" customWidth="1"/>
    <col min="4" max="4" width="20.7109375" customWidth="1"/>
    <col min="5" max="5" width="27.140625" customWidth="1"/>
    <col min="6" max="6" width="23.7109375" customWidth="1"/>
    <col min="7" max="7" width="20.5703125" customWidth="1"/>
    <col min="8" max="8" width="14.42578125" customWidth="1"/>
    <col min="9" max="9" width="20.140625" customWidth="1"/>
    <col min="10" max="10" width="25.140625" customWidth="1"/>
    <col min="11" max="11" width="11.28515625" customWidth="1"/>
    <col min="12" max="12" width="9.5703125" customWidth="1"/>
    <col min="13" max="13" width="10.85546875" customWidth="1"/>
    <col min="14" max="14" width="11.85546875" customWidth="1"/>
    <col min="15" max="15" width="13.7109375" customWidth="1"/>
    <col min="16" max="16" width="10.5703125" customWidth="1"/>
    <col min="17" max="17" width="20" customWidth="1"/>
    <col min="18" max="18" width="17.42578125" customWidth="1"/>
    <col min="19" max="19" width="15" customWidth="1"/>
    <col min="20" max="20" width="11.140625" customWidth="1"/>
    <col min="21" max="21" width="20.7109375" customWidth="1"/>
    <col min="22" max="22" width="23.7109375" customWidth="1"/>
    <col min="23" max="23" width="20.5703125" customWidth="1"/>
    <col min="24" max="24" width="29.42578125" customWidth="1"/>
    <col min="25" max="25" width="26.28515625" customWidth="1"/>
    <col min="26" max="26" width="24.140625" customWidth="1"/>
    <col min="27" max="27" width="23.28515625" customWidth="1"/>
    <col min="28" max="28" width="21.85546875" customWidth="1"/>
    <col min="29" max="29" width="18.42578125" customWidth="1"/>
    <col min="30" max="30" width="20.140625" customWidth="1"/>
    <col min="32" max="32" width="12.140625" customWidth="1"/>
    <col min="33" max="33" width="12.85546875" customWidth="1"/>
  </cols>
  <sheetData>
    <row r="1" spans="1:33" x14ac:dyDescent="0.25">
      <c r="A1" t="s">
        <v>1437</v>
      </c>
      <c r="B1" t="s">
        <v>1425</v>
      </c>
      <c r="C1" t="s">
        <v>1438</v>
      </c>
      <c r="D1" t="s">
        <v>1439</v>
      </c>
      <c r="E1" t="s">
        <v>1440</v>
      </c>
      <c r="F1" t="s">
        <v>1441</v>
      </c>
      <c r="G1" t="s">
        <v>1442</v>
      </c>
      <c r="H1" t="s">
        <v>1443</v>
      </c>
      <c r="I1" t="s">
        <v>1444</v>
      </c>
      <c r="J1" t="s">
        <v>1429</v>
      </c>
      <c r="K1" t="s">
        <v>1445</v>
      </c>
      <c r="L1" t="s">
        <v>382</v>
      </c>
      <c r="M1" t="s">
        <v>397</v>
      </c>
      <c r="N1" t="s">
        <v>1446</v>
      </c>
      <c r="O1" t="s">
        <v>1447</v>
      </c>
      <c r="P1" t="s">
        <v>1448</v>
      </c>
      <c r="Q1" t="s">
        <v>1449</v>
      </c>
      <c r="R1" t="s">
        <v>1450</v>
      </c>
      <c r="S1" t="s">
        <v>1451</v>
      </c>
      <c r="T1" t="s">
        <v>1452</v>
      </c>
      <c r="U1" t="s">
        <v>1453</v>
      </c>
      <c r="V1" t="s">
        <v>1454</v>
      </c>
      <c r="W1" t="s">
        <v>1455</v>
      </c>
      <c r="X1" t="s">
        <v>1456</v>
      </c>
      <c r="Y1" t="s">
        <v>1457</v>
      </c>
      <c r="Z1" t="s">
        <v>1458</v>
      </c>
      <c r="AA1" t="s">
        <v>1459</v>
      </c>
      <c r="AB1" t="s">
        <v>1460</v>
      </c>
      <c r="AC1" t="s">
        <v>1461</v>
      </c>
      <c r="AD1" t="s">
        <v>1462</v>
      </c>
      <c r="AE1" t="s">
        <v>1463</v>
      </c>
      <c r="AF1" t="s">
        <v>1464</v>
      </c>
      <c r="AG1" t="s">
        <v>1465</v>
      </c>
    </row>
    <row r="2" spans="1:33" x14ac:dyDescent="0.25">
      <c r="A2" t="s">
        <v>1493</v>
      </c>
      <c r="B2" t="s">
        <v>1492</v>
      </c>
      <c r="C2">
        <v>1</v>
      </c>
      <c r="D2" t="s">
        <v>1494</v>
      </c>
      <c r="E2" t="s">
        <v>47</v>
      </c>
      <c r="F2" t="s">
        <v>1495</v>
      </c>
      <c r="G2" s="12">
        <v>46122</v>
      </c>
      <c r="H2">
        <v>123</v>
      </c>
      <c r="I2">
        <v>65384</v>
      </c>
      <c r="J2">
        <v>65384</v>
      </c>
      <c r="K2" t="s">
        <v>21</v>
      </c>
      <c r="L2" t="s">
        <v>16</v>
      </c>
      <c r="M2" t="s">
        <v>1491</v>
      </c>
      <c r="O2">
        <v>456</v>
      </c>
      <c r="P2" s="12">
        <v>45863</v>
      </c>
      <c r="U2" t="s">
        <v>17</v>
      </c>
      <c r="V2" t="s">
        <v>1490</v>
      </c>
      <c r="W2" s="12">
        <v>45863</v>
      </c>
      <c r="Z2" t="s">
        <v>1489</v>
      </c>
      <c r="AC2" t="s">
        <v>1496</v>
      </c>
      <c r="AD2" t="b">
        <v>0</v>
      </c>
      <c r="AF2" s="4">
        <v>46122.069178240738</v>
      </c>
      <c r="AG2" s="4">
        <v>46122.069178240738</v>
      </c>
    </row>
  </sheetData>
  <pageMargins left="0.7" right="0.7" top="0.75" bottom="0.75" header="0.3" footer="0.3"/>
  <tableParts count="1">
    <tablePart r:id="rId1"/>
  </tableParts>
</worksheet>
</file>

<file path=customUI/customUI14.xml><?xml version="1.0" encoding="utf-8"?>
<customUI xmlns="http://schemas.microsoft.com/office/2009/07/customui" onLoad="RibbonCallbacks.RibbonOnLoad">
  <ribbon>
    <tabs>
      <tab id="tabUchetVhIsh" label="IncOut" insertAfterMso="TabData">
        <group id="grpProcessing" label="Data Processing">
          <button id="btnMassProcess" label="📊 Mass Processing" imageMso="DatabaseUpdate" size="large" onAction="RibbonCallbacks.btnMassProcess_Click" screentip="Mass processing of records" supertip="Automatic matching of all IncOut records with 1C postings"/>
          <separator id="sep1"/>
          <button id="btnMatchDoverennosti" label="🔗 Match Doverennosti" imageMso="FindDialog" size="large" onAction="RibbonCallbacks.btnMatchDoverennosti_Click" screentip="Doverennosti Matching" supertip="Search for matches between doverennosti and operations"/>
        </group>
        <group id="grpAnalysis" label="Analysis and Reports">
          <button id="btnStatistics" label="📈 Statistics" imageMso="ChartInsert" size="normal" onAction="RibbonCallbacks.btnStatistics_Click" screentip="Integration Statistics" supertip="Report on 1C matching results"/>
          <button id="btnAnalyzeOperations" label="🔍 Analyze Operations" imageMso="DataConsolidate" size="normal" onAction="RibbonCallbacks.btnAnalyzeOperations_Click" screentip="Operations Analysis" supertip="Detailed analysis of operations and workflow"/>
          <button id="btnShowLog" label="📋 Log" imageMso="ReviewReviewPane" size="normal" onAction="RibbonCallbacks.btnShowLog_Click" screentip="Operation Log" supertip="View the log of all executed operations"/>
          <separator id="sep3"/>
          <button id="btnGenerateWordLetters" label="📝 Doverennosti Letters" imageMso="WordDocument" size="large" onAction="RibbonCallbacks.btnGenerateWordLetters_Click" screentip="Generate Letters" supertip="Create Word documents with letters for unmatched doverennosti"/>
        </group>
        <group id="grpManagement" label="Management">
          <button id="btnSettings" label="⚙️ Settings" imageMso="ControlPanel" size="normal" onAction="RibbonCallbacks.btnSettings_Click" screentip="System Settings" supertip="Configuration of system parameters"/>
          <button id="btnClearMarks" label="🗑️ Clear Marks" imageMso="Clear" size="normal" onAction="RibbonCallbacks.btnClearMarks_Click" screentip="Clear Marks" supertip="Clear all execution marks"/>
          <separator id="sep2"/>
          <button id="btnBackupManager" label="💾 Backups" imageMso="DatabaseBackup" size="normal" onAction="RibbonCallbacks.btnBackupManager_Click" screentip="Backup Manager" supertip="Manage backup copies"/>
          <button id="btnHelp" label="❓ Help" imageMso="Help" size="normal" onAction="RibbonCallbacks.btnHelp_Click" screentip="Help" supertip="System usage help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19</vt:i4>
      </vt:variant>
    </vt:vector>
  </HeadingPairs>
  <TitlesOfParts>
    <vt:vector size="30" baseType="lpstr">
      <vt:lpstr>Reports</vt:lpstr>
      <vt:lpstr>Настройки_Отчетов</vt:lpstr>
      <vt:lpstr>Dashboard</vt:lpstr>
      <vt:lpstr>Статус_Документов</vt:lpstr>
      <vt:lpstr>Отчет_Службы</vt:lpstr>
      <vt:lpstr>Задержки</vt:lpstr>
      <vt:lpstr>IncOut</vt:lpstr>
      <vt:lpstr>Dictionaries</vt:lpstr>
      <vt:lpstr>SystemSettings</vt:lpstr>
      <vt:lpstr>Localization</vt:lpstr>
      <vt:lpstr>OperationLog</vt:lpstr>
      <vt:lpstr>ChartSettings</vt:lpstr>
      <vt:lpstr>ColorSettings</vt:lpstr>
      <vt:lpstr>Dashboard_Calculations</vt:lpstr>
      <vt:lpstr>Dashboard_Charts_Area</vt:lpstr>
      <vt:lpstr>Dashboard_KPI_Area</vt:lpstr>
      <vt:lpstr>Dashboard_Params_Area</vt:lpstr>
      <vt:lpstr>Dashboard_ServiceData</vt:lpstr>
      <vt:lpstr>Dashboard_StatusData</vt:lpstr>
      <vt:lpstr>Dashboard_Tables_Area</vt:lpstr>
      <vt:lpstr>Dashboard_Trends_Area</vt:lpstr>
      <vt:lpstr>PerformanceSettings</vt:lpstr>
      <vt:lpstr>IncOut!Print_Area</vt:lpstr>
      <vt:lpstr>ReportDateFrom</vt:lpstr>
      <vt:lpstr>ReportDateTo</vt:lpstr>
      <vt:lpstr>ReportExecutor</vt:lpstr>
      <vt:lpstr>ReportService</vt:lpstr>
      <vt:lpstr>ReportStatus</vt:lpstr>
      <vt:lpstr>StatusList</vt:lpstr>
      <vt:lpstr>ThresholdSettings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Евгений Кержаев</dc:creator>
  <cp:lastModifiedBy>Nachfin</cp:lastModifiedBy>
  <dcterms:created xsi:type="dcterms:W3CDTF">2015-06-05T18:19:34Z</dcterms:created>
  <dcterms:modified xsi:type="dcterms:W3CDTF">2026-04-09T22:39:37Z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est">
    <vt:lpwstr>3</vt:lpwstr>
  </property>
  <property fmtid="{D5CDD505-2E9C-101B-9397-08002B2CF9AE}" pid="3" name="pth">
    <vt:lpwstr>D:\_Обучение\EXСEL\#Рабочие проекты ВБА\УчётВхИсх</vt:lpwstr>
  </property>
</Properties>
</file>
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0c21f3376504b9d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08B99FFD-70A1-43BD-9342-71022F38629A}" xr6:coauthVersionLast="47" xr6:coauthVersionMax="47" xr10:uidLastSave="{00000000-0000-0000-0000-000000000000}"/>
  <bookViews>
    <workbookView xWindow="-120" yWindow="-120" windowWidth="29040" windowHeight="15720" tabRatio="745" firstSheet="7" activeTab="7" xr2:uid="{00000000-000D-0000-FFFF-FFFF00000000}"/>
  </bookViews>
  <sheets>
    <sheet name="Отчеты" sheetId="4" state="hidden" r:id="rId1"/>
    <sheet name="Настройки_Отчетов" sheetId="6" state="hidden" r:id="rId2"/>
    <sheet name="Шаблоны" sheetId="5" state="hidden" r:id="rId3"/>
    <sheet name="Dashboard" sheetId="7" state="hidden" r:id="rId4"/>
    <sheet name="Статус_Документов" sheetId="8" state="hidden" r:id="rId5"/>
    <sheet name="Отчет_Службы" sheetId="9" state="hidden" r:id="rId6"/>
    <sheet name="Задержки" sheetId="10" state="hidden" r:id="rId7"/>
    <sheet name="ВхИсх" sheetId="1" r:id="rId8"/>
    <sheet name="Настройки" sheetId="2" r:id="rId9"/>
    <sheet name="Настройки_Системы" sheetId="3" r:id="rId10"/>
    <sheet name="СистемныеНастройки" sheetId="11" state="veryHidden" r:id="rId11"/>
    <sheet name="ЖурналОпераций" sheetId="12" state="veryHidden" r:id="rId12"/>
  </sheets>
  <functionGroups builtInGroupCount="19"/>
  <definedNames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ReportDateFrom">Отчеты!$B$18</definedName>
    <definedName name="ReportDateTo">Отчеты!$B$19</definedName>
    <definedName name="ReportExecutor">Отчеты!$B$22</definedName>
    <definedName name="ReportService">Отчеты!$B$20</definedName>
    <definedName name="ReportStatus">Отчеты!$B$21</definedName>
    <definedName name="StatusList">Настройки_Отчетов!$A$4:$A$9</definedName>
    <definedName name="ThresholdSettings">Настройки_Отчетов!$H$5:$J$10</definedName>
    <definedName name="_xlnm.Print_Area" localSheetId="7">ВходящиеИсходящие[#All]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<sst xmlns="http://schemas.openxmlformats.org/spreadsheetml/2006/main" count="850" uniqueCount="257">
  <si>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</si>
  <si>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</si>
  <si>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</si>
  <si>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</si>
  <si>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</si>
  <si>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</si>
  <si>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</si>
  <si>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</si>
  <si>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</si>
  <si>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</si>
  <si>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</si>
  <si>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</si>
  <si>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</si>
  <si>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</si>
  <si>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</si>
  <si>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Службы</t>
  </si>
  <si>
    <t>Виды документов</t>
  </si>
  <si>
    <t>Исполнители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</si>
  <si>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</si>
  <si>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</si>
  <si>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</si>
  <si>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</si>
  <si>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</si>
  <si>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</si>
  <si>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</si>
  <si>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</si>
  <si>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</si>
  <si>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</si>
  <si>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</si>
  <si>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</si>
  <si>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</si>
  <si>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</si>
  <si>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</si>
  <si>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</si>
  <si>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</si>
  <si>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</si>
  <si>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</si>
  <si>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</si>
  <si>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</si>
  <si>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</si>
  <si>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</si>
  <si>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</si>
  <si>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</si>
  <si>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</si>
  <si>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</si>
  <si>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</si>
  <si>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</si>
  <si>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</si>
  <si>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</si>
  <si>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</si>
  <si>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</si>
  <si>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</si>
  <si>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</si>
  <si>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</si>
  <si>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</si>
  <si>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</si>
  <si>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</si>
  <si>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</si>
  <si>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</si>
  <si>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</si>
  <si>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</si>
  <si>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</si>
  <si>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</si>
  <si>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</si>
  <si>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</si>
  <si>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</si>
  <si>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</si>
  <si>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</si>
  <si>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</si>
  <si>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</si>
  <si>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</si>
  <si>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</si>
  <si>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</si>
  <si>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</si>
  <si>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</si>
  <si>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</si>
  <si>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</si>
  <si>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</si>
  <si>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</si>
  <si>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</si>
  <si>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</si>
  <si>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</si>
  <si>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</si>
  <si>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</si>
  <si>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</si>
  <si>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</si>
  <si>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</si>
  <si>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</si>
  <si>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</si>
  <si>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</si>
  <si>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</si>
  <si>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</si>
  <si>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</si>
  <si>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</si>
  <si>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</si>
  <si>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</si>
  <si>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</si>
  <si>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</si>
  <si>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</si>
  <si>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</si>
  <si>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</si>
  <si>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</si>
  <si>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</si>
  <si>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</si>
  <si>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</si>
  <si>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</si>
  <si>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</si>
  <si>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</si>
  <si>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</si>
  <si>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</si>
  <si>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</si>
  <si>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</si>
  <si>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</si>
  <si>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</si>
  <si>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</si>
  <si>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</si>
  <si>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</si>
  <si>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</si>
  <si>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</si>
  <si>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</si>
  <si>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</si>
  <si>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</si>
  <si>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</si>
  <si>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</si>
  <si>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</si>
  <si>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</si>
  <si>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</si>
  <si>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</si>
  <si>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</si>
  <si>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</si>
  <si>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</si>
  <si>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</si>
  <si>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</si>
  <si>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</si>
  <si>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</si>
  <si>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</si>
  <si>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</si>
  <si>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</si>
  <si>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</si>
  <si>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</si>
  <si>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</si>
  <si>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</si>
  <si>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</si>
  <si>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</si>
  <si>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</si>
  <si>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</si>
  <si>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</si>
  <si>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</si>
  <si>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</si>
  <si>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</si>
  <si>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</si>
  <si>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</si>
  <si>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</si>
  <si>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</si>
  <si>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</si>
  <si>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</si>
  <si>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</si>
  <si>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</si>
  <si>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</si>
  <si>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</si>
  <si>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</si>
  <si>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</si>
  <si>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</si>
  <si>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</si>
  <si>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</si>
  <si>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</si>
  <si>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</si>
  <si>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</si>
  <si>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</si>
  <si>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</si>
  <si>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</si>
  <si>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</si>
  <si>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</si>
  <si>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</si>
  <si>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</si>
  <si>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</si>
  <si>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</si>
  <si>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</si>
  <si>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</si>
  <si>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</si>
  <si>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</si>
  <si>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</si>
  <si>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</si>
  <si>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</si>
  <si>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</si>
  <si>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</si>
  <si>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</si>
  <si>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</si>
  <si>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</si>
  <si>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</si>
  <si>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</si>
  <si>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</si>
  <si>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</si>
  <si>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</si>
  <si>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</si>
  <si>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</si>
  <si>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</si>
  <si>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</si>
  <si>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</si>
  <si>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</si>
  <si>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</si>
  <si>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</si>
  <si>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</si>
  <si>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</si>
  <si>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</si>
  <si>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</si>
  <si>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</si>
  <si>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</si>
  <si>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</si>
  <si>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</si>
  <si>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</si>
  <si>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</si>
  <si>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</si>
  <si>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</si>
  <si>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</si>
  <si>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</si>
  <si>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</si>
  <si>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</si>
  <si>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</si>
  <si>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</si>
  <si>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</si>
  <si>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</si>
  <si>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</si>
  <si>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</si>
  <si>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57229-42</t>
  </si>
  <si>
    <t>54169-ГС</t>
  </si>
  <si>
    <t>117 ВАИ</t>
  </si>
  <si>
    <t>57229-3</t>
  </si>
  <si>
    <t>57229-34</t>
  </si>
  <si>
    <t>57229-40</t>
  </si>
  <si>
    <t>58661-Ж</t>
  </si>
  <si>
    <t>INFO</t>
  </si>
  <si>
    <t>Евгений Кержаев</t>
  </si>
  <si>
    <t>START</t>
  </si>
  <si>
    <t>SystemStart</t>
  </si>
  <si>
    <t>Система УчётВхИсх запущена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</si>
  <si>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</si>
  <si>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</si>
  <si>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</si>
  <si>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</si>
  <si>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MassProcess</t>
  </si>
  <si>
    <t>Backup</t>
  </si>
  <si>
    <t>Удалено старых копий: 1</t>
  </si>
  <si>
    <t>Массовая обработка завершена</t>
  </si>
  <si>
    <t>GenerateLetters</t>
  </si>
  <si>
    <t>Начало формирования писем по доверенностям</t>
  </si>
  <si>
    <t>Формирование писем завершено успешно</t>
  </si>
  <si>
    <t>Создана резервная копия: УчетВхИсх_GenerateLetters_20250907_203325.xlsm</t>
  </si>
  <si>
    <t>Создана резервная копия: УчетВхИсх_GenerateLetters_20250907_204032.xlsm</t>
  </si>
  <si>
    <t>Создана резервная копия: УчетВхИсх_GenerateLetters_20250907_205429.xlsm</t>
  </si>
  <si>
    <t>Создана резервная копия: УчетВхИсх_GenerateLetters_20250907_205527.xlsm</t>
  </si>
  <si>
    <t>Создана резервная копия: УчетВхИсх_GenerateLetters_20250907_231404.xlsm</t>
  </si>
  <si>
    <t>Начало массовой обработки</t>
  </si>
  <si>
    <t>Создана резервная копия: УчетВхИсх_MassProcess_20260108_020040.xlsm</t>
  </si>
  <si>
    <t>Help</t>
  </si>
  <si>
    <t>Открыта справка системы</t>
  </si>
  <si>
    <t>Nachfin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</si>
</sst>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</numFmts>
  <fonts count="22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2"/>
      <color theme="1"/>
      <name val="Segoe UI"/>
      <family val="2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8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0" fontId="2" fillId="0" borderId="0" xfId="0" applyFont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3" fillId="0" borderId="0" xfId="0" applyFont="1"/>
    <xf numFmtId="1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8" fillId="0" borderId="3" xfId="0" applyFont="1" applyBorder="1" applyAlignment="1">
      <alignment horizontal="left"/>
    </xf>
    <xf numFmtId="0" fontId="8" fillId="0" borderId="3" xfId="0" applyFont="1" applyBorder="1"/>
    <xf numFmtId="0" fontId="8" fillId="0" borderId="0" xfId="0" applyFont="1"/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8" fillId="3" borderId="3" xfId="0" applyFont="1" applyFill="1" applyBorder="1"/>
    <xf numFmtId="0" fontId="8" fillId="3" borderId="3" xfId="0" applyFont="1" applyFill="1" applyBorder="1" applyAlignment="1">
      <alignment horizontal="center"/>
    </xf>
    <xf numFmtId="3" fontId="7" fillId="4" borderId="3" xfId="0" applyNumberFormat="1" applyFont="1" applyFill="1" applyBorder="1"/>
    <xf numFmtId="14" fontId="7" fillId="0" borderId="3" xfId="0" applyNumberFormat="1" applyFont="1" applyBorder="1" applyAlignment="1">
      <alignment horizontal="center"/>
    </xf>
    <xf numFmtId="3" fontId="7" fillId="5" borderId="3" xfId="0" applyNumberFormat="1" applyFont="1" applyFill="1" applyBorder="1"/>
    <xf numFmtId="3" fontId="7" fillId="6" borderId="3" xfId="0" applyNumberFormat="1" applyFont="1" applyFill="1" applyBorder="1"/>
    <xf numFmtId="0" fontId="7" fillId="0" borderId="3" xfId="0" applyFont="1" applyBorder="1" applyAlignment="1">
      <alignment horizontal="center"/>
    </xf>
    <xf numFmtId="3" fontId="7" fillId="2" borderId="3" xfId="0" applyNumberFormat="1" applyFont="1" applyFill="1" applyBorder="1"/>
    <xf numFmtId="3" fontId="7" fillId="7" borderId="3" xfId="0" applyNumberFormat="1" applyFont="1" applyFill="1" applyBorder="1"/>
    <xf numFmtId="10" fontId="7" fillId="0" borderId="3" xfId="0" applyNumberFormat="1" applyFont="1" applyBorder="1" applyAlignment="1">
      <alignment horizontal="center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 wrapText="1"/>
    </xf>
    <xf numFmtId="0" fontId="7" fillId="0" borderId="3" xfId="0" applyFont="1" applyBorder="1" applyAlignment="1" applyProtection="1">
      <alignment horizontal="center"/>
      <protection locked="0"/>
    </xf>
    <xf numFmtId="0" fontId="7" fillId="0" borderId="3" xfId="0" applyFont="1" applyBorder="1" applyProtection="1">
      <protection locked="0"/>
    </xf>
    <xf numFmtId="0" fontId="7" fillId="10" borderId="10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3" fontId="7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164" fontId="8" fillId="0" borderId="0" xfId="0" applyNumberFormat="1" applyFont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8" fillId="3" borderId="0" xfId="0" applyFont="1" applyFill="1" applyAlignment="1">
      <alignment horizontal="left" vertical="center"/>
    </xf>
    <xf numFmtId="167" fontId="7" fillId="0" borderId="10" xfId="0" applyNumberFormat="1" applyFont="1" applyBorder="1" applyAlignment="1">
      <alignment horizontal="left" vertical="center"/>
    </xf>
    <xf numFmtId="22" fontId="7" fillId="0" borderId="10" xfId="0" applyNumberFormat="1" applyFont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166" fontId="7" fillId="0" borderId="0" xfId="0" applyNumberFormat="1" applyFont="1" applyAlignment="1">
      <alignment horizontal="left" vertical="center"/>
    </xf>
    <xf numFmtId="165" fontId="7" fillId="0" borderId="0" xfId="0" applyNumberFormat="1" applyFont="1" applyAlignment="1">
      <alignment horizontal="left" vertical="center"/>
    </xf>
    <xf numFmtId="0" fontId="7" fillId="11" borderId="9" xfId="0" applyFont="1" applyFill="1" applyBorder="1" applyAlignment="1">
      <alignment horizontal="left" vertical="center"/>
    </xf>
    <xf numFmtId="0" fontId="10" fillId="11" borderId="9" xfId="0" applyFont="1" applyFill="1" applyBorder="1" applyAlignment="1">
      <alignment horizontal="left" vertical="center"/>
    </xf>
    <xf numFmtId="168" fontId="7" fillId="0" borderId="0" xfId="0" applyNumberFormat="1" applyFont="1" applyAlignment="1">
      <alignment horizontal="left" vertical="center"/>
    </xf>
    <xf numFmtId="0" fontId="8" fillId="3" borderId="10" xfId="0" applyFont="1" applyFill="1" applyBorder="1" applyAlignment="1">
      <alignment horizontal="left" vertical="center"/>
    </xf>
    <xf numFmtId="165" fontId="7" fillId="0" borderId="10" xfId="0" applyNumberFormat="1" applyFont="1" applyBorder="1" applyAlignment="1">
      <alignment horizontal="left" vertical="center"/>
    </xf>
    <xf numFmtId="1" fontId="7" fillId="0" borderId="10" xfId="0" applyNumberFormat="1" applyFont="1" applyBorder="1" applyAlignment="1">
      <alignment horizontal="left" vertical="center"/>
    </xf>
    <xf numFmtId="166" fontId="7" fillId="0" borderId="10" xfId="0" applyNumberFormat="1" applyFont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0" fontId="12" fillId="9" borderId="8" xfId="0" applyFont="1" applyFill="1" applyBorder="1" applyAlignment="1">
      <alignment horizontal="center" vertical="center"/>
    </xf>
    <xf numFmtId="0" fontId="13" fillId="10" borderId="8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6" fillId="14" borderId="11" xfId="0" applyFont="1" applyFill="1" applyBorder="1" applyAlignment="1">
      <alignment horizontal="center" vertical="center"/>
    </xf>
    <xf numFmtId="165" fontId="16" fillId="14" borderId="11" xfId="0" applyNumberFormat="1" applyFont="1" applyFill="1" applyBorder="1" applyAlignment="1">
      <alignment horizontal="center" vertical="center"/>
    </xf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9" fillId="4" borderId="11" xfId="0" applyFont="1" applyFill="1" applyBorder="1" applyAlignment="1">
      <alignment horizontal="center" vertical="center"/>
    </xf>
    <xf numFmtId="168" fontId="19" fillId="4" borderId="11" xfId="0" applyNumberFormat="1" applyFont="1" applyFill="1" applyBorder="1" applyAlignment="1">
      <alignment horizontal="center" vertical="center"/>
    </xf>
    <xf numFmtId="0" fontId="7" fillId="4" borderId="0" xfId="0" applyFont="1" applyFill="1" applyAlignment="1">
      <alignment horizontal="left" vertical="center"/>
    </xf>
    <xf numFmtId="14" fontId="7" fillId="4" borderId="0" xfId="0" applyNumberFormat="1" applyFont="1" applyFill="1" applyAlignment="1">
      <alignment horizontal="left" vertical="center"/>
    </xf>
    <xf numFmtId="4" fontId="1" fillId="0" borderId="4" xfId="0" applyNumberFormat="1" applyFont="1" applyBorder="1" applyAlignment="1">
      <alignment horizontal="right" vertical="top"/>
    </xf>
    <xf numFmtId="0" fontId="1" fillId="0" borderId="15" xfId="0" applyFont="1" applyBorder="1"/>
    <xf numFmtId="0" fontId="1" fillId="0" borderId="14" xfId="0" applyFont="1" applyBorder="1"/>
    <xf numFmtId="4" fontId="1" fillId="0" borderId="13" xfId="0" applyNumberFormat="1" applyFont="1" applyBorder="1" applyAlignment="1">
      <alignment horizontal="right" vertical="top"/>
    </xf>
    <xf numFmtId="14" fontId="1" fillId="0" borderId="15" xfId="0" applyNumberFormat="1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3" fillId="0" borderId="3" xfId="0" applyFont="1" applyBorder="1"/>
    <xf numFmtId="14" fontId="1" fillId="0" borderId="6" xfId="0" applyNumberFormat="1" applyFont="1" applyBorder="1"/>
    <xf numFmtId="0" fontId="4" fillId="0" borderId="3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9" fillId="8" borderId="0" xfId="0" applyFont="1" applyFill="1" applyAlignment="1">
      <alignment horizontal="left" vertical="center"/>
    </xf>
    <xf numFmtId="165" fontId="7" fillId="4" borderId="8" xfId="0" applyNumberFormat="1" applyFont="1" applyFill="1" applyBorder="1" applyAlignment="1">
      <alignment horizontal="left" vertical="center"/>
    </xf>
    <xf numFmtId="0" fontId="8" fillId="10" borderId="8" xfId="0" applyFont="1" applyFill="1" applyBorder="1" applyAlignment="1">
      <alignment horizontal="left" vertical="center"/>
    </xf>
    <xf numFmtId="3" fontId="9" fillId="10" borderId="8" xfId="0" applyNumberFormat="1" applyFont="1" applyFill="1" applyBorder="1" applyAlignment="1">
      <alignment horizontal="left" vertical="center"/>
    </xf>
    <xf numFmtId="0" fontId="11" fillId="10" borderId="8" xfId="0" applyFont="1" applyFill="1" applyBorder="1" applyAlignment="1">
      <alignment horizontal="left" vertical="center"/>
    </xf>
    <xf numFmtId="0" fontId="8" fillId="7" borderId="8" xfId="0" applyFont="1" applyFill="1" applyBorder="1" applyAlignment="1">
      <alignment horizontal="left" vertical="center"/>
    </xf>
    <xf numFmtId="3" fontId="9" fillId="7" borderId="8" xfId="0" applyNumberFormat="1" applyFont="1" applyFill="1" applyBorder="1" applyAlignment="1">
      <alignment horizontal="left" vertical="center"/>
    </xf>
    <xf numFmtId="0" fontId="11" fillId="7" borderId="8" xfId="0" applyFont="1" applyFill="1" applyBorder="1" applyAlignment="1">
      <alignment horizontal="left" vertical="center"/>
    </xf>
    <xf numFmtId="0" fontId="8" fillId="9" borderId="8" xfId="0" applyFont="1" applyFill="1" applyBorder="1" applyAlignment="1">
      <alignment horizontal="left" vertical="center"/>
    </xf>
    <xf numFmtId="3" fontId="9" fillId="9" borderId="8" xfId="0" applyNumberFormat="1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left" vertical="center"/>
    </xf>
    <xf numFmtId="0" fontId="8" fillId="4" borderId="8" xfId="0" applyFont="1" applyFill="1" applyBorder="1" applyAlignment="1">
      <alignment horizontal="left" vertical="center"/>
    </xf>
    <xf numFmtId="3" fontId="9" fillId="4" borderId="8" xfId="0" applyNumberFormat="1" applyFont="1" applyFill="1" applyBorder="1" applyAlignment="1">
      <alignment horizontal="left" vertical="center"/>
    </xf>
    <xf numFmtId="0" fontId="11" fillId="4" borderId="8" xfId="0" applyFont="1" applyFill="1" applyBorder="1" applyAlignment="1">
      <alignment horizontal="left" vertical="center"/>
    </xf>
    <xf numFmtId="0" fontId="9" fillId="8" borderId="10" xfId="0" applyFont="1" applyFill="1" applyBorder="1" applyAlignment="1">
      <alignment horizontal="left" vertical="center"/>
    </xf>
    <xf numFmtId="0" fontId="9" fillId="8" borderId="7" xfId="0" applyFont="1" applyFill="1" applyBorder="1" applyAlignment="1">
      <alignment horizontal="left" vertical="center"/>
    </xf>
    <xf numFmtId="0" fontId="17" fillId="12" borderId="11" xfId="0" applyFont="1" applyFill="1" applyBorder="1" applyAlignment="1">
      <alignment horizontal="center" vertical="center"/>
    </xf>
    <xf numFmtId="0" fontId="20" fillId="13" borderId="11" xfId="0" applyFont="1" applyFill="1" applyBorder="1" applyAlignment="1">
      <alignment horizontal="center" vertical="center"/>
    </xf>
  </cellXfs>
  <cellStyles count="1">
    <cellStyle name="Обычный" xfId="0" builtinId="0"/>
  </cellStyles>
  <dxfs count="25"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ВходящиеИсходящие" displayName="ВходящиеИсходящие" ref="A1:T41" totalsRowShown="0" headerRowDxfId="24" dataDxfId="22" headerRowBorderDxfId="23" tableBorderDxfId="21" totalsRowBorderDxfId="20">
  <autoFilter ref="A1:T41" xr:uid="{8FC333FD-63F0-4E9F-8CC6-93898C581D70}"/>
  <tableColumns count="20">
    <tableColumn id="1" xr3:uid="{0A0BECDC-9AA9-45A9-93C5-A71027738DF1}" name="№ П/П" dataDxfId="19"/>
    <tableColumn id="2" xr3:uid="{7D3AF814-5A71-4C3F-BC3F-BBAF8DEEE2E7}" name="Служба" dataDxfId="18"/>
    <tableColumn id="3" xr3:uid="{365555A8-3665-4DEF-B987-52EF345766E1}" name="ТипДокумента" dataDxfId="17"/>
    <tableColumn id="4" xr3:uid="{53435FF3-B8A9-456D-AF80-FFDC3DAAE625}" name="Вид документа" dataDxfId="16"/>
    <tableColumn id="5" xr3:uid="{818D1262-D680-438D-9FF8-924BA7C94EBC}" name="НомерДокумента" dataDxfId="15"/>
    <tableColumn id="6" xr3:uid="{869ADC8B-513C-42DC-9125-8E28CE5D003A}" name="Сумма документа" dataDxfId="14"/>
    <tableColumn id="7" xr3:uid="{9A8BA24E-DD64-491D-A534-DA7AC273AC53}" name="Вх.ФРП_x000a_Исх.ФРП" dataDxfId="13"/>
    <tableColumn id="8" xr3:uid="{D689A096-72DB-479D-A1C3-83B1A6E07749}" name="ДатаВх. ФРП_x000a_ДатаИсх. ФРП" dataDxfId="12"/>
    <tableColumn id="9" xr3:uid="{8F317CDC-63AB-4AFA-9783-525361163DBB}" name="От кого поступил (куда направлен)" dataDxfId="11"/>
    <tableColumn id="10" xr3:uid="{0C8FEDCC-833A-4421-A114-D556AD7C01F4}" name="ДатаПередачиИсполнителю" dataDxfId="10"/>
    <tableColumn id="11" xr3:uid="{2FED1E3D-C0CD-4C17-BB2F-7E74DBEF5294}" name="Исполнитель" dataDxfId="9"/>
    <tableColumn id="12" xr3:uid="{8FCD9A91-4B1E-4E29-A876-CCF80E72A90B}" name="НомерИсхВСлужбу" dataDxfId="8"/>
    <tableColumn id="13" xr3:uid="{4F11E080-1F05-4B76-AACC-F4A383AE060D}" name="ДатаИсхВСлужбу" dataDxfId="7"/>
    <tableColumn id="14" xr3:uid="{FF9857D9-4E85-402C-86D7-88B37F3ACA1D}" name="Номер возвратаСоСлужбы" dataDxfId="6"/>
    <tableColumn id="15" xr3:uid="{52BFD158-EA44-434B-AA42-01E0C3D4A7E9}" name="Дата возвратаСоСлужбы" dataDxfId="5"/>
    <tableColumn id="16" xr3:uid="{686ECA96-0F1B-4B29-BC39-092A4499DEB4}" name="НомерИсхКонверт/НомерВхКонверт" dataDxfId="4"/>
    <tableColumn id="17" xr3:uid="{D990D222-9B31-4107-BF15-587101F720C5}" name="ДатаИсхКонверт/ДатаВхКонверт" dataDxfId="3"/>
    <tableColumn id="18" xr3:uid="{8840F3E8-146B-4C66-BFDC-7BD58E7D906B}" name="Отметка об исполнении (номер документа в 1С)" dataDxfId="2"/>
    <tableColumn id="19" xr3:uid="{682814E1-D1D5-4AF0-821D-64A2A90ED13A}" name="СтатусПодтверждения" dataDxfId="1"/>
    <tableColumn id="20" xr3:uid="{AA21424A-3A1E-466C-B04B-7530BBA979B4}" name="Наряд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88" t="s">
        <v>54</v>
      </c>
      <c r="B1" s="88"/>
      <c r="C1" s="88"/>
      <c r="D1" s="88"/>
      <c r="E1" s="88"/>
      <c r="F1" s="88"/>
      <c r="G1" s="88"/>
      <c r="H1" s="88"/>
    </row>
    <row r="2" spans="1:8" ht="23.25" x14ac:dyDescent="0.35">
      <c r="A2" s="14"/>
      <c r="B2" s="14"/>
      <c r="C2" s="14"/>
      <c r="D2" s="14"/>
      <c r="E2" s="14"/>
      <c r="F2" s="14"/>
      <c r="G2" s="14"/>
      <c r="H2" s="14"/>
    </row>
    <row r="3" spans="1:8" ht="23.25" x14ac:dyDescent="0.35">
      <c r="A3" s="14"/>
      <c r="B3" s="14"/>
      <c r="C3" s="14"/>
      <c r="D3" s="14"/>
      <c r="E3" s="14"/>
      <c r="F3" s="14"/>
      <c r="G3" s="14"/>
      <c r="H3" s="14"/>
    </row>
    <row r="5" spans="1:8" x14ac:dyDescent="0.25">
      <c r="A5" s="12" t="s">
        <v>55</v>
      </c>
    </row>
    <row r="7" spans="1:8" x14ac:dyDescent="0.25">
      <c r="A7" s="12"/>
    </row>
    <row r="9" spans="1:8" x14ac:dyDescent="0.25">
      <c r="A9" s="12"/>
    </row>
    <row r="10" spans="1:8" ht="31.5" customHeight="1" x14ac:dyDescent="0.25"/>
    <row r="11" spans="1:8" x14ac:dyDescent="0.25">
      <c r="A11" s="12"/>
    </row>
    <row r="13" spans="1:8" x14ac:dyDescent="0.25">
      <c r="A13" s="12"/>
    </row>
    <row r="16" spans="1:8" ht="18.75" x14ac:dyDescent="0.3">
      <c r="A16" s="15" t="s">
        <v>58</v>
      </c>
    </row>
    <row r="18" spans="1:5" x14ac:dyDescent="0.25">
      <c r="A18" s="12" t="s">
        <v>59</v>
      </c>
      <c r="B18" s="13">
        <f ca="1">TODAY()-30</f>
        <v>46055</v>
      </c>
    </row>
    <row r="19" spans="1:5" x14ac:dyDescent="0.25">
      <c r="A19" s="12" t="s">
        <v>60</v>
      </c>
      <c r="B19" s="13">
        <f ca="1">TODAY()</f>
        <v>46085</v>
      </c>
      <c r="E19" t="s">
        <v>63</v>
      </c>
    </row>
    <row r="20" spans="1:5" x14ac:dyDescent="0.25">
      <c r="A20" s="12" t="s">
        <v>61</v>
      </c>
      <c r="E20" t="s">
        <v>64</v>
      </c>
    </row>
    <row r="21" spans="1:5" x14ac:dyDescent="0.25">
      <c r="A21" s="12" t="s">
        <v>62</v>
      </c>
      <c r="E21" t="s">
        <v>65</v>
      </c>
    </row>
    <row r="22" spans="1:5" x14ac:dyDescent="0.25">
      <c r="A22" s="12" t="s">
        <v>6</v>
      </c>
      <c r="E22" t="s">
        <v>66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Настройки!$A$2:$A$12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Настройки!$E$2:$E$4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7" customWidth="1"/>
    <col min="2" max="2" width="30.7109375" style="16" customWidth="1"/>
    <col min="3" max="3" width="15.7109375" style="16" customWidth="1"/>
    <col min="4" max="4" width="20.7109375" style="16" customWidth="1"/>
    <col min="5" max="5" width="15.7109375" style="16" customWidth="1"/>
    <col min="6" max="6" width="25.7109375" style="16" customWidth="1"/>
    <col min="7" max="7" width="5.7109375" style="16" customWidth="1"/>
    <col min="8" max="8" width="25.7109375" style="16" customWidth="1"/>
    <col min="9" max="9" width="12.7109375" style="18" customWidth="1"/>
    <col min="10" max="10" width="20.7109375" style="16" customWidth="1"/>
    <col min="11" max="11" width="5.7109375" style="16" customWidth="1"/>
    <col min="12" max="12" width="20.7109375" style="16" customWidth="1"/>
    <col min="13" max="14" width="15.7109375" style="16" customWidth="1"/>
    <col min="15" max="15" width="5.7109375" style="16" customWidth="1"/>
    <col min="16" max="16" width="25.7109375" style="16" customWidth="1"/>
    <col min="17" max="17" width="12.7109375" style="18" customWidth="1"/>
    <col min="18" max="18" width="20.7109375" style="16" customWidth="1"/>
    <col min="19" max="19" width="5.7109375" style="16" customWidth="1"/>
    <col min="20" max="20" width="25.7109375" style="16" customWidth="1"/>
    <col min="21" max="21" width="15.7109375" style="18" customWidth="1"/>
    <col min="22" max="16384" width="9.140625" style="16"/>
  </cols>
  <sheetData>
    <row r="1" spans="1:21" x14ac:dyDescent="0.2">
      <c r="A1" s="89" t="s">
        <v>70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</row>
    <row r="3" spans="1:21" x14ac:dyDescent="0.2">
      <c r="A3" s="19" t="s">
        <v>71</v>
      </c>
      <c r="B3" s="20" t="s">
        <v>72</v>
      </c>
      <c r="D3" s="21" t="s">
        <v>79</v>
      </c>
      <c r="H3" s="21" t="s">
        <v>90</v>
      </c>
      <c r="L3" s="21" t="s">
        <v>102</v>
      </c>
      <c r="P3" s="21" t="s">
        <v>126</v>
      </c>
      <c r="T3" s="21" t="s">
        <v>137</v>
      </c>
    </row>
    <row r="4" spans="1:21" x14ac:dyDescent="0.2">
      <c r="A4" s="22" t="s">
        <v>67</v>
      </c>
      <c r="B4" s="23" t="s">
        <v>73</v>
      </c>
      <c r="D4" s="24" t="s">
        <v>80</v>
      </c>
      <c r="E4" s="24" t="s">
        <v>81</v>
      </c>
      <c r="F4" s="24" t="s">
        <v>82</v>
      </c>
      <c r="H4" s="24" t="s">
        <v>56</v>
      </c>
      <c r="I4" s="25" t="s">
        <v>91</v>
      </c>
      <c r="J4" s="24" t="s">
        <v>92</v>
      </c>
      <c r="L4" s="24" t="s">
        <v>103</v>
      </c>
      <c r="M4" s="24" t="s">
        <v>104</v>
      </c>
      <c r="N4" s="24" t="s">
        <v>91</v>
      </c>
      <c r="P4" s="24" t="s">
        <v>56</v>
      </c>
      <c r="Q4" s="25" t="s">
        <v>91</v>
      </c>
      <c r="R4" s="24" t="s">
        <v>82</v>
      </c>
    </row>
    <row r="5" spans="1:21" x14ac:dyDescent="0.2">
      <c r="A5" s="22"/>
      <c r="B5" s="23" t="s">
        <v>74</v>
      </c>
      <c r="D5" s="23" t="s">
        <v>83</v>
      </c>
      <c r="E5" s="26">
        <v>255200200</v>
      </c>
      <c r="F5" s="23" t="s">
        <v>84</v>
      </c>
      <c r="H5" s="23" t="s">
        <v>93</v>
      </c>
      <c r="I5" s="36">
        <v>7</v>
      </c>
      <c r="J5" s="23" t="s">
        <v>94</v>
      </c>
      <c r="L5" s="23" t="s">
        <v>105</v>
      </c>
      <c r="M5" s="37" t="s">
        <v>106</v>
      </c>
      <c r="N5" s="23">
        <v>800</v>
      </c>
      <c r="P5" s="23" t="s">
        <v>127</v>
      </c>
      <c r="Q5" s="36" t="s">
        <v>116</v>
      </c>
      <c r="R5" s="23" t="s">
        <v>128</v>
      </c>
      <c r="T5" s="20" t="s">
        <v>138</v>
      </c>
      <c r="U5" s="27">
        <f ca="1">TODAY()</f>
        <v>46085</v>
      </c>
    </row>
    <row r="6" spans="1:21" x14ac:dyDescent="0.2">
      <c r="A6" s="22" t="s">
        <v>47</v>
      </c>
      <c r="B6" s="23" t="s">
        <v>75</v>
      </c>
      <c r="D6" s="23" t="s">
        <v>47</v>
      </c>
      <c r="E6" s="28">
        <v>200255200</v>
      </c>
      <c r="F6" s="23" t="s">
        <v>85</v>
      </c>
      <c r="H6" s="23" t="s">
        <v>95</v>
      </c>
      <c r="I6" s="36">
        <v>3</v>
      </c>
      <c r="J6" s="23" t="s">
        <v>94</v>
      </c>
      <c r="L6" s="23" t="s">
        <v>107</v>
      </c>
      <c r="M6" s="37" t="s">
        <v>106</v>
      </c>
      <c r="N6" s="23">
        <v>600</v>
      </c>
      <c r="P6" s="23" t="s">
        <v>129</v>
      </c>
      <c r="Q6" s="36">
        <v>10</v>
      </c>
      <c r="R6" s="23" t="s">
        <v>130</v>
      </c>
      <c r="T6" s="20" t="s">
        <v>139</v>
      </c>
      <c r="U6" s="27">
        <f ca="1">TODAY()-30</f>
        <v>46055</v>
      </c>
    </row>
    <row r="7" spans="1:21" x14ac:dyDescent="0.2">
      <c r="A7" s="22" t="s">
        <v>57</v>
      </c>
      <c r="B7" s="23" t="s">
        <v>76</v>
      </c>
      <c r="D7" s="23" t="s">
        <v>57</v>
      </c>
      <c r="E7" s="29">
        <v>200200255</v>
      </c>
      <c r="F7" s="23" t="s">
        <v>86</v>
      </c>
      <c r="H7" s="23" t="s">
        <v>96</v>
      </c>
      <c r="I7" s="36">
        <v>5</v>
      </c>
      <c r="J7" s="23" t="s">
        <v>97</v>
      </c>
      <c r="L7" s="23" t="s">
        <v>108</v>
      </c>
      <c r="M7" s="37" t="s">
        <v>109</v>
      </c>
      <c r="N7" s="23" t="s">
        <v>110</v>
      </c>
      <c r="P7" s="23" t="s">
        <v>131</v>
      </c>
      <c r="Q7" s="36">
        <v>100</v>
      </c>
      <c r="R7" s="23" t="s">
        <v>132</v>
      </c>
      <c r="T7" s="20" t="s">
        <v>140</v>
      </c>
      <c r="U7" s="30"/>
    </row>
    <row r="8" spans="1:21" x14ac:dyDescent="0.2">
      <c r="A8" s="22" t="s">
        <v>68</v>
      </c>
      <c r="B8" s="23" t="s">
        <v>77</v>
      </c>
      <c r="D8" s="23" t="s">
        <v>68</v>
      </c>
      <c r="E8" s="31">
        <v>255255200</v>
      </c>
      <c r="F8" s="23" t="s">
        <v>87</v>
      </c>
      <c r="H8" s="23" t="s">
        <v>98</v>
      </c>
      <c r="I8" s="36">
        <v>30</v>
      </c>
      <c r="J8" s="23" t="s">
        <v>94</v>
      </c>
      <c r="L8" s="23" t="s">
        <v>111</v>
      </c>
      <c r="M8" s="37" t="s">
        <v>112</v>
      </c>
      <c r="N8" s="23" t="s">
        <v>113</v>
      </c>
      <c r="P8" s="23" t="s">
        <v>133</v>
      </c>
      <c r="Q8" s="36" t="s">
        <v>116</v>
      </c>
      <c r="R8" s="23" t="s">
        <v>134</v>
      </c>
      <c r="T8" s="20" t="s">
        <v>141</v>
      </c>
      <c r="U8" s="30"/>
    </row>
    <row r="9" spans="1:21" x14ac:dyDescent="0.2">
      <c r="A9" s="22" t="s">
        <v>69</v>
      </c>
      <c r="B9" s="23" t="s">
        <v>78</v>
      </c>
      <c r="D9" s="23" t="s">
        <v>88</v>
      </c>
      <c r="E9" s="32">
        <v>255150150</v>
      </c>
      <c r="F9" s="23" t="s">
        <v>89</v>
      </c>
      <c r="H9" s="23" t="s">
        <v>99</v>
      </c>
      <c r="I9" s="36">
        <v>1000</v>
      </c>
      <c r="J9" s="23" t="s">
        <v>97</v>
      </c>
      <c r="L9" s="23" t="s">
        <v>114</v>
      </c>
      <c r="M9" s="37" t="s">
        <v>115</v>
      </c>
      <c r="N9" s="23" t="s">
        <v>116</v>
      </c>
      <c r="P9" s="23" t="s">
        <v>135</v>
      </c>
      <c r="Q9" s="36">
        <v>30</v>
      </c>
      <c r="R9" s="23" t="s">
        <v>136</v>
      </c>
      <c r="T9" s="20" t="s">
        <v>142</v>
      </c>
      <c r="U9" s="33">
        <f>IF(U7&gt;0,U8/U7*100,0)</f>
        <v>0</v>
      </c>
    </row>
    <row r="10" spans="1:21" x14ac:dyDescent="0.2">
      <c r="H10" s="23" t="s">
        <v>100</v>
      </c>
      <c r="I10" s="36">
        <v>85</v>
      </c>
      <c r="J10" s="23" t="s">
        <v>101</v>
      </c>
      <c r="L10" s="23" t="s">
        <v>117</v>
      </c>
      <c r="M10" s="37" t="s">
        <v>115</v>
      </c>
      <c r="N10" s="23" t="s">
        <v>118</v>
      </c>
    </row>
    <row r="13" spans="1:21" x14ac:dyDescent="0.2">
      <c r="A13" s="34" t="s">
        <v>119</v>
      </c>
    </row>
    <row r="15" spans="1:21" x14ac:dyDescent="0.2">
      <c r="A15" s="34" t="s">
        <v>120</v>
      </c>
    </row>
    <row r="16" spans="1:21" ht="51" x14ac:dyDescent="0.2">
      <c r="A16" s="35" t="s">
        <v>121</v>
      </c>
    </row>
    <row r="18" spans="1:1" x14ac:dyDescent="0.2">
      <c r="A18" s="34" t="s">
        <v>122</v>
      </c>
    </row>
    <row r="19" spans="1:1" ht="51" x14ac:dyDescent="0.2">
      <c r="A19" s="35" t="s">
        <v>123</v>
      </c>
    </row>
    <row r="21" spans="1:1" x14ac:dyDescent="0.2">
      <c r="A21" s="34" t="s">
        <v>124</v>
      </c>
    </row>
    <row r="22" spans="1:1" ht="38.25" x14ac:dyDescent="0.2">
      <c r="A22" s="35" t="s">
        <v>125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C9F99-1795-414D-AE0F-D5B7E27D87DD}">
  <sheetPr codeName="Лист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9" customWidth="1"/>
    <col min="2" max="2" width="20.7109375" style="39" customWidth="1"/>
    <col min="3" max="3" width="8.7109375" style="39" customWidth="1"/>
    <col min="4" max="4" width="10.7109375" style="39" customWidth="1"/>
    <col min="5" max="5" width="8.7109375" style="39" customWidth="1"/>
    <col min="6" max="6" width="16.85546875" style="39" customWidth="1"/>
    <col min="7" max="7" width="15.7109375" style="39" customWidth="1"/>
    <col min="8" max="8" width="12.7109375" style="39" customWidth="1"/>
    <col min="9" max="9" width="15.7109375" style="39" customWidth="1"/>
    <col min="10" max="10" width="12.7109375" style="39" customWidth="1"/>
    <col min="11" max="11" width="10.7109375" style="39" customWidth="1"/>
    <col min="12" max="12" width="6.7109375" style="39" customWidth="1"/>
    <col min="13" max="14" width="12.7109375" style="39" customWidth="1"/>
    <col min="15" max="15" width="15.7109375" style="39" customWidth="1"/>
    <col min="16" max="16" width="16.7109375" style="39" customWidth="1"/>
    <col min="17" max="17" width="19.5703125" style="39" customWidth="1"/>
    <col min="18" max="18" width="16.7109375" style="39" customWidth="1"/>
    <col min="19" max="19" width="31.28515625" style="39" bestFit="1" customWidth="1"/>
    <col min="20" max="20" width="10.140625" style="39" bestFit="1" customWidth="1"/>
    <col min="21" max="21" width="8.7109375" style="39" customWidth="1"/>
    <col min="22" max="22" width="38.140625" style="39" bestFit="1" customWidth="1"/>
    <col min="23" max="23" width="12" style="39" bestFit="1" customWidth="1"/>
    <col min="24" max="25" width="8.7109375" style="39" customWidth="1"/>
    <col min="26" max="26" width="9.140625" style="39" customWidth="1"/>
    <col min="27" max="16384" width="9.140625" style="39"/>
  </cols>
  <sheetData>
    <row r="1" spans="1:23" ht="15" customHeight="1" x14ac:dyDescent="0.25">
      <c r="A1" s="90" t="s">
        <v>143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P1" s="104" t="s">
        <v>180</v>
      </c>
      <c r="Q1" s="104"/>
      <c r="R1" s="104"/>
      <c r="S1" s="40" t="s">
        <v>193</v>
      </c>
    </row>
    <row r="2" spans="1:23" ht="15" customHeight="1" x14ac:dyDescent="0.25">
      <c r="P2" s="41"/>
      <c r="Q2" s="41"/>
      <c r="R2" s="41"/>
      <c r="S2" s="39" t="s">
        <v>194</v>
      </c>
      <c r="T2" s="42"/>
    </row>
    <row r="3" spans="1:23" ht="15" customHeight="1" x14ac:dyDescent="0.25">
      <c r="A3" s="40" t="s">
        <v>144</v>
      </c>
      <c r="B3" s="43" t="str">
        <f ca="1">ReportDateFrom&amp;" - "&amp;ReportDateTo</f>
        <v>46055 - 46085</v>
      </c>
      <c r="C3" s="43"/>
      <c r="D3" s="43"/>
      <c r="E3" s="40" t="s">
        <v>145</v>
      </c>
      <c r="F3" s="44">
        <v>45879.071446759262</v>
      </c>
      <c r="G3" s="43"/>
      <c r="H3" s="40" t="s">
        <v>62</v>
      </c>
      <c r="I3" s="43" t="s">
        <v>146</v>
      </c>
      <c r="P3" s="45" t="s">
        <v>181</v>
      </c>
      <c r="Q3" s="38"/>
      <c r="R3" s="41"/>
      <c r="S3" s="39" t="s">
        <v>195</v>
      </c>
      <c r="T3" s="42">
        <v>16</v>
      </c>
      <c r="V3" s="40" t="s">
        <v>206</v>
      </c>
    </row>
    <row r="4" spans="1:23" ht="15" customHeight="1" thickBot="1" x14ac:dyDescent="0.3">
      <c r="P4" s="45" t="s">
        <v>182</v>
      </c>
      <c r="Q4" s="38" t="s">
        <v>183</v>
      </c>
      <c r="R4" s="41"/>
      <c r="S4" s="39" t="s">
        <v>196</v>
      </c>
      <c r="T4" s="42">
        <v>6</v>
      </c>
      <c r="V4" s="46" t="s">
        <v>80</v>
      </c>
      <c r="W4" s="46" t="s">
        <v>207</v>
      </c>
    </row>
    <row r="5" spans="1:23" ht="15" customHeight="1" thickBot="1" x14ac:dyDescent="0.3">
      <c r="A5" s="98" t="s">
        <v>147</v>
      </c>
      <c r="B5" s="98"/>
      <c r="C5" s="98"/>
      <c r="E5" s="101" t="s">
        <v>149</v>
      </c>
      <c r="F5" s="101"/>
      <c r="G5" s="101"/>
      <c r="I5" s="92" t="s">
        <v>151</v>
      </c>
      <c r="J5" s="92"/>
      <c r="K5" s="92"/>
      <c r="M5" s="95" t="s">
        <v>153</v>
      </c>
      <c r="N5" s="95"/>
      <c r="O5" s="95"/>
      <c r="P5" s="45" t="s">
        <v>184</v>
      </c>
      <c r="Q5" s="47">
        <v>45879.071446759262</v>
      </c>
      <c r="R5" s="41"/>
      <c r="S5" s="39" t="s">
        <v>197</v>
      </c>
      <c r="T5" s="42">
        <v>3</v>
      </c>
      <c r="V5" s="39" t="s">
        <v>47</v>
      </c>
      <c r="W5" s="39">
        <v>6</v>
      </c>
    </row>
    <row r="6" spans="1:23" ht="15" customHeight="1" thickBot="1" x14ac:dyDescent="0.3">
      <c r="A6" s="99">
        <v>19</v>
      </c>
      <c r="B6" s="99"/>
      <c r="C6" s="99"/>
      <c r="E6" s="102">
        <v>6</v>
      </c>
      <c r="F6" s="102"/>
      <c r="G6" s="102"/>
      <c r="I6" s="93">
        <v>0</v>
      </c>
      <c r="J6" s="93"/>
      <c r="K6" s="93"/>
      <c r="M6" s="96">
        <v>8</v>
      </c>
      <c r="N6" s="96"/>
      <c r="O6" s="96"/>
      <c r="P6" s="45" t="s">
        <v>185</v>
      </c>
      <c r="Q6" s="48" t="s">
        <v>220</v>
      </c>
      <c r="R6" s="41"/>
      <c r="S6" s="39" t="s">
        <v>198</v>
      </c>
      <c r="T6" s="42">
        <v>0</v>
      </c>
      <c r="V6" s="39" t="s">
        <v>57</v>
      </c>
      <c r="W6" s="39">
        <v>3</v>
      </c>
    </row>
    <row r="7" spans="1:23" ht="15" customHeight="1" thickBot="1" x14ac:dyDescent="0.3">
      <c r="A7" s="100" t="s">
        <v>148</v>
      </c>
      <c r="B7" s="100"/>
      <c r="C7" s="100"/>
      <c r="E7" s="103" t="s">
        <v>150</v>
      </c>
      <c r="F7" s="103"/>
      <c r="G7" s="103"/>
      <c r="I7" s="94" t="s">
        <v>152</v>
      </c>
      <c r="J7" s="94"/>
      <c r="K7" s="94"/>
      <c r="M7" s="97" t="s">
        <v>154</v>
      </c>
      <c r="N7" s="97"/>
      <c r="O7" s="97"/>
      <c r="P7" s="45" t="s">
        <v>186</v>
      </c>
      <c r="Q7" s="41" t="s">
        <v>187</v>
      </c>
      <c r="R7" s="41"/>
      <c r="S7" s="39" t="s">
        <v>199</v>
      </c>
      <c r="T7" s="42">
        <v>7</v>
      </c>
      <c r="V7" s="39" t="s">
        <v>68</v>
      </c>
      <c r="W7" s="39">
        <v>0</v>
      </c>
    </row>
    <row r="8" spans="1:23" ht="15" customHeight="1" thickBot="1" x14ac:dyDescent="0.3">
      <c r="A8" s="61" t="s">
        <v>212</v>
      </c>
      <c r="B8" s="49"/>
      <c r="C8" s="49"/>
      <c r="E8" s="91">
        <v>0.47368421052631576</v>
      </c>
      <c r="F8" s="91"/>
      <c r="G8" s="91"/>
      <c r="I8" s="62" t="s">
        <v>213</v>
      </c>
      <c r="J8" s="50"/>
      <c r="K8" s="50"/>
      <c r="M8" s="63" t="s">
        <v>214</v>
      </c>
      <c r="N8" s="60"/>
      <c r="O8" s="60"/>
      <c r="P8" s="45" t="s">
        <v>188</v>
      </c>
      <c r="Q8" s="41" t="s">
        <v>221</v>
      </c>
      <c r="R8" s="41"/>
      <c r="S8" s="39" t="s">
        <v>200</v>
      </c>
      <c r="T8" s="51">
        <v>4</v>
      </c>
      <c r="V8" s="39" t="s">
        <v>208</v>
      </c>
      <c r="W8" s="39">
        <v>10</v>
      </c>
    </row>
    <row r="9" spans="1:23" ht="15" customHeight="1" thickBot="1" x14ac:dyDescent="0.3">
      <c r="P9" s="45" t="s">
        <v>189</v>
      </c>
      <c r="Q9" s="41" t="s">
        <v>190</v>
      </c>
      <c r="R9" s="41"/>
      <c r="S9" s="39" t="s">
        <v>201</v>
      </c>
      <c r="T9" s="52">
        <v>0.5625</v>
      </c>
    </row>
    <row r="10" spans="1:23" ht="15" customHeight="1" thickBot="1" x14ac:dyDescent="0.3">
      <c r="A10" s="105" t="s">
        <v>155</v>
      </c>
      <c r="B10" s="105"/>
      <c r="C10" s="105"/>
      <c r="D10" s="105"/>
      <c r="E10" s="105"/>
      <c r="F10" s="105"/>
      <c r="G10" s="105"/>
      <c r="I10" s="105" t="s">
        <v>158</v>
      </c>
      <c r="J10" s="105"/>
      <c r="K10" s="105"/>
      <c r="L10" s="105"/>
      <c r="M10" s="105"/>
      <c r="N10" s="105"/>
      <c r="O10" s="105"/>
      <c r="P10" s="45" t="s">
        <v>191</v>
      </c>
      <c r="Q10" s="41">
        <v>100</v>
      </c>
      <c r="R10" s="41"/>
      <c r="S10" s="39" t="s">
        <v>202</v>
      </c>
      <c r="T10" s="51">
        <v>10</v>
      </c>
      <c r="V10" s="40" t="s">
        <v>209</v>
      </c>
    </row>
    <row r="11" spans="1:23" ht="15" customHeight="1" x14ac:dyDescent="0.25">
      <c r="A11" s="53"/>
      <c r="B11" s="53"/>
      <c r="C11" s="53"/>
      <c r="D11" s="53"/>
      <c r="E11" s="53"/>
      <c r="F11" s="53"/>
      <c r="G11" s="53"/>
      <c r="I11" s="53"/>
      <c r="J11" s="53"/>
      <c r="K11" s="53"/>
      <c r="L11" s="53"/>
      <c r="M11" s="53"/>
      <c r="N11" s="53"/>
      <c r="O11" s="53"/>
      <c r="P11" s="45" t="s">
        <v>192</v>
      </c>
      <c r="Q11" s="41" t="s">
        <v>116</v>
      </c>
      <c r="R11" s="41"/>
      <c r="S11" s="39" t="s">
        <v>203</v>
      </c>
      <c r="T11" s="42">
        <v>31</v>
      </c>
      <c r="V11" s="46" t="s">
        <v>1</v>
      </c>
      <c r="W11" s="46" t="s">
        <v>207</v>
      </c>
    </row>
    <row r="12" spans="1:23" ht="15" customHeight="1" x14ac:dyDescent="0.25">
      <c r="A12" s="54" t="s">
        <v>156</v>
      </c>
      <c r="B12" s="53"/>
      <c r="C12" s="53"/>
      <c r="D12" s="53"/>
      <c r="E12" s="53"/>
      <c r="F12" s="53"/>
      <c r="G12" s="53"/>
      <c r="I12" s="54" t="s">
        <v>159</v>
      </c>
      <c r="J12" s="53"/>
      <c r="K12" s="53"/>
      <c r="L12" s="53"/>
      <c r="M12" s="53"/>
      <c r="N12" s="53"/>
      <c r="O12" s="53"/>
      <c r="S12" s="39" t="s">
        <v>204</v>
      </c>
      <c r="T12" s="55">
        <v>45873</v>
      </c>
      <c r="V12" s="39" t="s">
        <v>23</v>
      </c>
      <c r="W12" s="39">
        <v>5</v>
      </c>
    </row>
    <row r="13" spans="1:23" ht="15" customHeight="1" x14ac:dyDescent="0.25">
      <c r="A13" s="54" t="s">
        <v>157</v>
      </c>
      <c r="B13" s="53"/>
      <c r="C13" s="53"/>
      <c r="D13" s="53"/>
      <c r="E13" s="53"/>
      <c r="F13" s="53"/>
      <c r="G13" s="53"/>
      <c r="I13" s="54" t="s">
        <v>160</v>
      </c>
      <c r="J13" s="53"/>
      <c r="K13" s="53"/>
      <c r="L13" s="53"/>
      <c r="M13" s="53"/>
      <c r="N13" s="53"/>
      <c r="O13" s="53"/>
      <c r="S13" s="39" t="s">
        <v>205</v>
      </c>
      <c r="T13" s="55"/>
      <c r="V13" s="39" t="s">
        <v>30</v>
      </c>
      <c r="W13" s="39">
        <v>2</v>
      </c>
    </row>
    <row r="14" spans="1:23" ht="15" customHeight="1" x14ac:dyDescent="0.25">
      <c r="A14" s="53"/>
      <c r="B14" s="53"/>
      <c r="C14" s="53"/>
      <c r="D14" s="53"/>
      <c r="E14" s="53"/>
      <c r="F14" s="53"/>
      <c r="G14" s="53"/>
      <c r="I14" s="53"/>
      <c r="J14" s="53"/>
      <c r="K14" s="53"/>
      <c r="L14" s="53"/>
      <c r="M14" s="53"/>
      <c r="N14" s="53"/>
      <c r="O14" s="53"/>
      <c r="V14" s="39" t="s">
        <v>31</v>
      </c>
      <c r="W14" s="39">
        <v>2</v>
      </c>
    </row>
    <row r="15" spans="1:23" ht="15" customHeight="1" x14ac:dyDescent="0.25">
      <c r="A15" s="53"/>
      <c r="B15" s="53"/>
      <c r="C15" s="53"/>
      <c r="D15" s="53"/>
      <c r="E15" s="53"/>
      <c r="F15" s="53"/>
      <c r="G15" s="53"/>
      <c r="I15" s="53"/>
      <c r="J15" s="53"/>
      <c r="K15" s="53"/>
      <c r="L15" s="53"/>
      <c r="M15" s="53"/>
      <c r="N15" s="53"/>
      <c r="O15" s="53"/>
      <c r="V15" s="39" t="s">
        <v>18</v>
      </c>
      <c r="W15" s="39">
        <v>2</v>
      </c>
    </row>
    <row r="16" spans="1:23" ht="15" customHeight="1" x14ac:dyDescent="0.25">
      <c r="A16" s="53"/>
      <c r="B16" s="53"/>
      <c r="C16" s="53"/>
      <c r="D16" s="53"/>
      <c r="E16" s="53"/>
      <c r="F16" s="53"/>
      <c r="G16" s="53"/>
      <c r="I16" s="53"/>
      <c r="J16" s="53"/>
      <c r="K16" s="53"/>
      <c r="L16" s="53"/>
      <c r="M16" s="53"/>
      <c r="N16" s="53"/>
      <c r="O16" s="53"/>
      <c r="V16" s="39" t="s">
        <v>32</v>
      </c>
      <c r="W16" s="39">
        <v>2</v>
      </c>
    </row>
    <row r="17" spans="1:15" ht="15" customHeight="1" x14ac:dyDescent="0.25">
      <c r="A17" s="53"/>
      <c r="B17" s="53"/>
      <c r="C17" s="53"/>
      <c r="D17" s="53"/>
      <c r="E17" s="53"/>
      <c r="F17" s="53"/>
      <c r="G17" s="53"/>
      <c r="I17" s="53"/>
      <c r="J17" s="53"/>
      <c r="K17" s="53"/>
      <c r="L17" s="53"/>
      <c r="M17" s="53"/>
      <c r="N17" s="53"/>
      <c r="O17" s="53"/>
    </row>
    <row r="18" spans="1:15" ht="15" customHeight="1" x14ac:dyDescent="0.25">
      <c r="A18" s="53"/>
      <c r="B18" s="53"/>
      <c r="C18" s="53"/>
      <c r="D18" s="53"/>
      <c r="E18" s="53"/>
      <c r="F18" s="53"/>
      <c r="G18" s="53"/>
      <c r="I18" s="53"/>
      <c r="J18" s="53"/>
      <c r="K18" s="53"/>
      <c r="L18" s="53"/>
      <c r="M18" s="53"/>
      <c r="N18" s="53"/>
      <c r="O18" s="53"/>
    </row>
    <row r="19" spans="1:15" ht="15" customHeight="1" x14ac:dyDescent="0.25">
      <c r="A19" s="53"/>
      <c r="B19" s="53"/>
      <c r="C19" s="53"/>
      <c r="D19" s="53"/>
      <c r="E19" s="53"/>
      <c r="F19" s="53"/>
      <c r="G19" s="53"/>
      <c r="I19" s="53"/>
      <c r="J19" s="53"/>
      <c r="K19" s="53"/>
      <c r="L19" s="53"/>
      <c r="M19" s="53"/>
      <c r="N19" s="53"/>
      <c r="O19" s="53"/>
    </row>
    <row r="20" spans="1:15" ht="15" customHeight="1" x14ac:dyDescent="0.25">
      <c r="A20" s="53"/>
      <c r="B20" s="53"/>
      <c r="C20" s="53"/>
      <c r="D20" s="53"/>
      <c r="E20" s="53"/>
      <c r="F20" s="53"/>
      <c r="G20" s="53"/>
      <c r="I20" s="53"/>
      <c r="J20" s="53"/>
      <c r="K20" s="53"/>
      <c r="L20" s="53"/>
      <c r="M20" s="53"/>
      <c r="N20" s="53"/>
      <c r="O20" s="53"/>
    </row>
    <row r="21" spans="1:15" ht="15" customHeight="1" x14ac:dyDescent="0.25">
      <c r="A21" s="53"/>
      <c r="B21" s="53"/>
      <c r="C21" s="53"/>
      <c r="D21" s="53"/>
      <c r="E21" s="53"/>
      <c r="F21" s="53"/>
      <c r="G21" s="53"/>
      <c r="I21" s="53"/>
      <c r="J21" s="53"/>
      <c r="K21" s="53"/>
      <c r="L21" s="53"/>
      <c r="M21" s="53"/>
      <c r="N21" s="53"/>
      <c r="O21" s="53"/>
    </row>
    <row r="22" spans="1:15" ht="15" customHeight="1" x14ac:dyDescent="0.25">
      <c r="A22" s="53"/>
      <c r="B22" s="53"/>
      <c r="C22" s="53"/>
      <c r="D22" s="53"/>
      <c r="E22" s="53"/>
      <c r="F22" s="53"/>
      <c r="G22" s="53"/>
      <c r="I22" s="53"/>
      <c r="J22" s="53"/>
      <c r="K22" s="53"/>
      <c r="L22" s="53"/>
      <c r="M22" s="53"/>
      <c r="N22" s="53"/>
      <c r="O22" s="53"/>
    </row>
    <row r="23" spans="1:15" ht="15" customHeight="1" x14ac:dyDescent="0.25">
      <c r="A23" s="53"/>
      <c r="B23" s="53"/>
      <c r="C23" s="53"/>
      <c r="D23" s="53"/>
      <c r="E23" s="53"/>
      <c r="F23" s="53"/>
      <c r="G23" s="53"/>
      <c r="I23" s="53"/>
      <c r="J23" s="53"/>
      <c r="K23" s="53"/>
      <c r="L23" s="53"/>
      <c r="M23" s="53"/>
      <c r="N23" s="53"/>
      <c r="O23" s="53"/>
    </row>
    <row r="24" spans="1:15" ht="15" customHeight="1" x14ac:dyDescent="0.25">
      <c r="A24" s="53"/>
      <c r="B24" s="53"/>
      <c r="C24" s="53"/>
      <c r="D24" s="53"/>
      <c r="E24" s="53"/>
      <c r="F24" s="53"/>
      <c r="G24" s="53"/>
      <c r="I24" s="53"/>
      <c r="J24" s="53"/>
      <c r="K24" s="53"/>
      <c r="L24" s="53"/>
      <c r="M24" s="53"/>
      <c r="N24" s="53"/>
      <c r="O24" s="53"/>
    </row>
    <row r="25" spans="1:15" ht="15" customHeight="1" x14ac:dyDescent="0.25">
      <c r="A25" s="53"/>
      <c r="B25" s="53"/>
      <c r="C25" s="53"/>
      <c r="D25" s="53"/>
      <c r="E25" s="53"/>
      <c r="F25" s="53"/>
      <c r="G25" s="53"/>
      <c r="I25" s="53"/>
      <c r="J25" s="53"/>
      <c r="K25" s="53"/>
      <c r="L25" s="53"/>
      <c r="M25" s="53"/>
      <c r="N25" s="53"/>
      <c r="O25" s="53"/>
    </row>
    <row r="26" spans="1:15" ht="15" customHeight="1" x14ac:dyDescent="0.25"/>
    <row r="27" spans="1:15" ht="15" customHeight="1" x14ac:dyDescent="0.25">
      <c r="A27" s="106" t="s">
        <v>161</v>
      </c>
      <c r="B27" s="106"/>
      <c r="C27" s="106"/>
      <c r="D27" s="106"/>
      <c r="E27" s="106"/>
      <c r="F27" s="106"/>
      <c r="H27" s="107" t="s">
        <v>163</v>
      </c>
      <c r="I27" s="107"/>
      <c r="J27" s="107"/>
      <c r="K27" s="107"/>
      <c r="L27" s="107"/>
      <c r="M27" s="107"/>
    </row>
    <row r="28" spans="1:15" ht="15" customHeight="1" x14ac:dyDescent="0.25">
      <c r="A28" s="64">
        <v>1</v>
      </c>
      <c r="B28" s="64" t="s">
        <v>23</v>
      </c>
      <c r="C28" s="64">
        <v>4</v>
      </c>
      <c r="D28" s="64">
        <v>1</v>
      </c>
      <c r="E28" s="65">
        <v>0.25</v>
      </c>
      <c r="F28" s="64" t="s">
        <v>162</v>
      </c>
      <c r="H28" s="68" t="s">
        <v>210</v>
      </c>
      <c r="I28" s="68" t="s">
        <v>30</v>
      </c>
      <c r="J28" s="68">
        <v>129</v>
      </c>
      <c r="K28" s="69">
        <v>45863</v>
      </c>
      <c r="L28" s="68">
        <v>10</v>
      </c>
      <c r="M28" s="68" t="s">
        <v>211</v>
      </c>
    </row>
    <row r="29" spans="1:15" ht="15" customHeight="1" x14ac:dyDescent="0.25">
      <c r="A29" s="66">
        <v>2</v>
      </c>
      <c r="B29" s="66" t="s">
        <v>30</v>
      </c>
      <c r="C29" s="66">
        <v>2</v>
      </c>
      <c r="D29" s="66">
        <v>1</v>
      </c>
      <c r="E29" s="67">
        <v>0.5</v>
      </c>
      <c r="F29" s="66" t="s">
        <v>162</v>
      </c>
      <c r="H29" s="68" t="s">
        <v>210</v>
      </c>
      <c r="I29" s="68" t="s">
        <v>32</v>
      </c>
      <c r="J29" s="68">
        <v>985</v>
      </c>
      <c r="K29" s="69">
        <v>45858</v>
      </c>
      <c r="L29" s="68">
        <v>15</v>
      </c>
      <c r="M29" s="68" t="s">
        <v>211</v>
      </c>
    </row>
    <row r="30" spans="1:15" ht="15" customHeight="1" x14ac:dyDescent="0.25">
      <c r="A30" s="64">
        <v>1</v>
      </c>
      <c r="B30" s="64" t="s">
        <v>23</v>
      </c>
      <c r="C30" s="64">
        <v>5</v>
      </c>
      <c r="D30" s="64">
        <v>1</v>
      </c>
      <c r="E30" s="65">
        <v>0.2</v>
      </c>
      <c r="F30" s="64" t="s">
        <v>162</v>
      </c>
      <c r="H30" s="68" t="s">
        <v>210</v>
      </c>
      <c r="I30" s="68" t="s">
        <v>30</v>
      </c>
      <c r="J30" s="68">
        <v>129</v>
      </c>
      <c r="K30" s="69">
        <v>45863</v>
      </c>
      <c r="L30" s="68">
        <v>16</v>
      </c>
      <c r="M30" s="68" t="s">
        <v>211</v>
      </c>
    </row>
    <row r="31" spans="1:15" ht="15" customHeight="1" x14ac:dyDescent="0.25">
      <c r="A31" s="64">
        <v>2</v>
      </c>
      <c r="B31" s="64" t="s">
        <v>30</v>
      </c>
      <c r="C31" s="64">
        <v>2</v>
      </c>
      <c r="D31" s="64">
        <v>1</v>
      </c>
      <c r="E31" s="65">
        <v>0.5</v>
      </c>
      <c r="F31" s="64" t="s">
        <v>162</v>
      </c>
      <c r="H31" s="68" t="s">
        <v>210</v>
      </c>
      <c r="I31" s="68" t="s">
        <v>32</v>
      </c>
      <c r="J31" s="68">
        <v>985</v>
      </c>
      <c r="K31" s="69">
        <v>45858</v>
      </c>
      <c r="L31" s="68">
        <v>21</v>
      </c>
      <c r="M31" s="68" t="s">
        <v>211</v>
      </c>
    </row>
    <row r="32" spans="1:15" ht="15" customHeight="1" x14ac:dyDescent="0.25">
      <c r="A32" s="64">
        <v>3</v>
      </c>
      <c r="B32" s="64" t="s">
        <v>31</v>
      </c>
      <c r="C32" s="64">
        <v>2</v>
      </c>
      <c r="D32" s="64">
        <v>1</v>
      </c>
      <c r="E32" s="65">
        <v>0.5</v>
      </c>
      <c r="F32" s="64" t="s">
        <v>162</v>
      </c>
      <c r="H32" s="72" t="s">
        <v>210</v>
      </c>
      <c r="I32" s="72" t="s">
        <v>23</v>
      </c>
      <c r="J32" s="72">
        <v>325</v>
      </c>
      <c r="K32" s="73">
        <v>45863</v>
      </c>
      <c r="L32" s="72">
        <v>16</v>
      </c>
      <c r="M32" s="72" t="s">
        <v>211</v>
      </c>
    </row>
    <row r="33" spans="1:14" ht="15" customHeight="1" x14ac:dyDescent="0.25">
      <c r="A33" s="39">
        <v>4</v>
      </c>
      <c r="B33" s="39" t="s">
        <v>18</v>
      </c>
      <c r="C33" s="39">
        <v>2</v>
      </c>
      <c r="D33" s="39">
        <v>2</v>
      </c>
      <c r="E33" s="52">
        <v>1</v>
      </c>
      <c r="F33" s="39" t="s">
        <v>162</v>
      </c>
      <c r="H33" s="74" t="s">
        <v>210</v>
      </c>
      <c r="I33" s="74" t="s">
        <v>31</v>
      </c>
      <c r="J33" s="74">
        <v>135</v>
      </c>
      <c r="K33" s="75">
        <v>45863</v>
      </c>
      <c r="L33" s="74">
        <v>16</v>
      </c>
      <c r="M33" s="74" t="s">
        <v>211</v>
      </c>
    </row>
    <row r="34" spans="1:14" ht="15" customHeight="1" x14ac:dyDescent="0.25">
      <c r="A34" s="39">
        <v>5</v>
      </c>
      <c r="B34" s="39" t="s">
        <v>32</v>
      </c>
      <c r="C34" s="39">
        <v>2</v>
      </c>
      <c r="D34" s="39">
        <v>1</v>
      </c>
      <c r="E34" s="52">
        <v>0.5</v>
      </c>
      <c r="F34" s="39" t="s">
        <v>162</v>
      </c>
      <c r="H34" s="74" t="s">
        <v>210</v>
      </c>
      <c r="I34" s="74" t="s">
        <v>41</v>
      </c>
      <c r="J34" s="74">
        <v>125</v>
      </c>
      <c r="K34" s="75">
        <v>45869</v>
      </c>
      <c r="L34" s="74">
        <v>10</v>
      </c>
      <c r="M34" s="74" t="s">
        <v>211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90" t="s">
        <v>164</v>
      </c>
      <c r="B37" s="90"/>
      <c r="C37" s="90"/>
      <c r="D37" s="90"/>
      <c r="E37" s="90"/>
      <c r="F37" s="90"/>
      <c r="G37" s="90"/>
      <c r="H37" s="90"/>
      <c r="I37" s="90"/>
      <c r="J37" s="90"/>
      <c r="K37" s="90"/>
      <c r="L37" s="90"/>
      <c r="M37" s="90"/>
      <c r="N37" s="90"/>
    </row>
    <row r="38" spans="1:14" ht="15" customHeight="1" x14ac:dyDescent="0.25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</row>
    <row r="39" spans="1:14" ht="15" customHeight="1" x14ac:dyDescent="0.25">
      <c r="A39" s="54" t="s">
        <v>165</v>
      </c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</row>
    <row r="40" spans="1:14" ht="15" customHeight="1" x14ac:dyDescent="0.25">
      <c r="A40" s="54" t="s">
        <v>166</v>
      </c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</row>
    <row r="41" spans="1:14" ht="15" customHeight="1" x14ac:dyDescent="0.25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</row>
    <row r="42" spans="1:14" ht="15" customHeight="1" x14ac:dyDescent="0.25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</row>
    <row r="43" spans="1:14" ht="15" customHeight="1" x14ac:dyDescent="0.25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</row>
    <row r="44" spans="1:14" ht="15" customHeight="1" x14ac:dyDescent="0.25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</row>
    <row r="45" spans="1:14" ht="15" customHeight="1" x14ac:dyDescent="0.25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</row>
    <row r="46" spans="1:14" ht="15" customHeight="1" x14ac:dyDescent="0.25"/>
    <row r="47" spans="1:14" ht="15" customHeight="1" x14ac:dyDescent="0.25">
      <c r="A47" s="90" t="s">
        <v>167</v>
      </c>
      <c r="B47" s="90"/>
      <c r="C47" s="90"/>
      <c r="D47" s="90"/>
      <c r="E47" s="90"/>
    </row>
    <row r="48" spans="1:14" ht="15" customHeight="1" x14ac:dyDescent="0.25">
      <c r="A48" s="56" t="s">
        <v>168</v>
      </c>
      <c r="B48" s="56" t="s">
        <v>169</v>
      </c>
      <c r="C48" s="56" t="s">
        <v>170</v>
      </c>
      <c r="D48" s="56" t="s">
        <v>171</v>
      </c>
      <c r="E48" s="56" t="s">
        <v>172</v>
      </c>
    </row>
    <row r="49" spans="1:5" ht="15" customHeight="1" x14ac:dyDescent="0.25">
      <c r="A49" s="41" t="s">
        <v>173</v>
      </c>
      <c r="B49" s="58">
        <f t="shared" ref="B49:B55" ca="1" si="0">RAND()*10+5</f>
        <v>8.7297709356695563</v>
      </c>
      <c r="C49" s="58">
        <f t="shared" ref="C49:C55" ca="1" si="1">B49*0.8</f>
        <v>6.983816748535645</v>
      </c>
      <c r="D49" s="59">
        <f t="shared" ref="D49:D55" ca="1" si="2">RAND()*5+2</f>
        <v>6.9309032778289108</v>
      </c>
      <c r="E49" s="57">
        <f t="shared" ref="E49:E55" ca="1" si="3">C49/B49</f>
        <v>0.8</v>
      </c>
    </row>
    <row r="50" spans="1:5" ht="15" customHeight="1" x14ac:dyDescent="0.25">
      <c r="A50" s="41" t="s">
        <v>174</v>
      </c>
      <c r="B50" s="58">
        <f t="shared" ca="1" si="0"/>
        <v>12.507783240864063</v>
      </c>
      <c r="C50" s="58">
        <f t="shared" ca="1" si="1"/>
        <v>10.006226592691251</v>
      </c>
      <c r="D50" s="59">
        <f t="shared" ca="1" si="2"/>
        <v>4.8551264584107319</v>
      </c>
      <c r="E50" s="57">
        <f t="shared" ca="1" si="3"/>
        <v>0.8</v>
      </c>
    </row>
    <row r="51" spans="1:5" ht="15" customHeight="1" x14ac:dyDescent="0.25">
      <c r="A51" s="41" t="s">
        <v>175</v>
      </c>
      <c r="B51" s="58">
        <f t="shared" ca="1" si="0"/>
        <v>11.236872128148942</v>
      </c>
      <c r="C51" s="58">
        <f t="shared" ca="1" si="1"/>
        <v>8.989497702519154</v>
      </c>
      <c r="D51" s="59">
        <f t="shared" ca="1" si="2"/>
        <v>3.3715287830839213</v>
      </c>
      <c r="E51" s="57">
        <f t="shared" ca="1" si="3"/>
        <v>0.8</v>
      </c>
    </row>
    <row r="52" spans="1:5" ht="15" customHeight="1" x14ac:dyDescent="0.25">
      <c r="A52" s="41" t="s">
        <v>176</v>
      </c>
      <c r="B52" s="58">
        <f t="shared" ca="1" si="0"/>
        <v>14.206203860238514</v>
      </c>
      <c r="C52" s="58">
        <f t="shared" ca="1" si="1"/>
        <v>11.364963088190812</v>
      </c>
      <c r="D52" s="59">
        <f t="shared" ca="1" si="2"/>
        <v>3.5688054154486322</v>
      </c>
      <c r="E52" s="57">
        <f t="shared" ca="1" si="3"/>
        <v>0.80000000000000016</v>
      </c>
    </row>
    <row r="53" spans="1:5" ht="15" customHeight="1" x14ac:dyDescent="0.25">
      <c r="A53" s="41" t="s">
        <v>177</v>
      </c>
      <c r="B53" s="58">
        <f t="shared" ca="1" si="0"/>
        <v>12.102547830338189</v>
      </c>
      <c r="C53" s="58">
        <f t="shared" ca="1" si="1"/>
        <v>9.6820382642705525</v>
      </c>
      <c r="D53" s="59">
        <f t="shared" ca="1" si="2"/>
        <v>2.0426984424616963</v>
      </c>
      <c r="E53" s="57">
        <f t="shared" ca="1" si="3"/>
        <v>0.80000000000000016</v>
      </c>
    </row>
    <row r="54" spans="1:5" ht="15" customHeight="1" x14ac:dyDescent="0.25">
      <c r="A54" s="41" t="s">
        <v>178</v>
      </c>
      <c r="B54" s="58">
        <f t="shared" ca="1" si="0"/>
        <v>9.429460927039095</v>
      </c>
      <c r="C54" s="58">
        <f t="shared" ca="1" si="1"/>
        <v>7.543568741631276</v>
      </c>
      <c r="D54" s="59">
        <f t="shared" ca="1" si="2"/>
        <v>4.9874094830862088</v>
      </c>
      <c r="E54" s="57">
        <f t="shared" ca="1" si="3"/>
        <v>0.8</v>
      </c>
    </row>
    <row r="55" spans="1:5" ht="15" customHeight="1" x14ac:dyDescent="0.25">
      <c r="A55" s="41" t="s">
        <v>179</v>
      </c>
      <c r="B55" s="58">
        <f t="shared" ca="1" si="0"/>
        <v>10.317576143875586</v>
      </c>
      <c r="C55" s="58">
        <f t="shared" ca="1" si="1"/>
        <v>8.2540609151004691</v>
      </c>
      <c r="D55" s="59">
        <f t="shared" ca="1" si="2"/>
        <v>6.2754594915667861</v>
      </c>
      <c r="E55" s="57">
        <f t="shared" ca="1" si="3"/>
        <v>0.8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P1:R1"/>
    <mergeCell ref="A10:G10"/>
    <mergeCell ref="I10:O10"/>
    <mergeCell ref="A27:F27"/>
    <mergeCell ref="H27:M27"/>
    <mergeCell ref="A1:M1"/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T41"/>
  <sheetViews>
    <sheetView tabSelected="1" view="pageBreakPreview" zoomScale="110" zoomScaleNormal="100" zoomScaleSheetLayoutView="110" workbookViewId="0">
      <selection activeCell="I12" sqref="I12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20" s="1" customFormat="1" ht="73.5" customHeight="1" x14ac:dyDescent="0.25">
      <c r="A1" s="2" t="s">
        <v>0</v>
      </c>
      <c r="B1" s="10" t="s">
        <v>1</v>
      </c>
      <c r="C1" s="10" t="s">
        <v>39</v>
      </c>
      <c r="D1" s="10" t="s">
        <v>11</v>
      </c>
      <c r="E1" s="10" t="s">
        <v>2</v>
      </c>
      <c r="F1" s="10" t="s">
        <v>3</v>
      </c>
      <c r="G1" s="10" t="s">
        <v>13</v>
      </c>
      <c r="H1" s="10" t="s">
        <v>14</v>
      </c>
      <c r="I1" s="10" t="s">
        <v>4</v>
      </c>
      <c r="J1" s="10" t="s">
        <v>5</v>
      </c>
      <c r="K1" s="10" t="s">
        <v>6</v>
      </c>
      <c r="L1" s="10" t="s">
        <v>7</v>
      </c>
      <c r="M1" s="10" t="s">
        <v>8</v>
      </c>
      <c r="N1" s="10" t="s">
        <v>9</v>
      </c>
      <c r="O1" s="10" t="s">
        <v>10</v>
      </c>
      <c r="P1" s="10" t="s">
        <v>48</v>
      </c>
      <c r="Q1" s="10" t="s">
        <v>49</v>
      </c>
      <c r="R1" s="10" t="s">
        <v>46</v>
      </c>
      <c r="S1" s="10" t="s">
        <v>12</v>
      </c>
      <c r="T1" s="70" t="s">
        <v>215</v>
      </c>
    </row>
    <row r="2" spans="1:20" ht="15.75" x14ac:dyDescent="0.25">
      <c r="A2" s="3">
        <v>1</v>
      </c>
      <c r="B2" s="6" t="s">
        <v>23</v>
      </c>
      <c r="C2" s="6" t="s">
        <v>24</v>
      </c>
      <c r="D2" s="6" t="s">
        <v>51</v>
      </c>
      <c r="E2" s="6">
        <v>123</v>
      </c>
      <c r="F2" s="6">
        <v>47266560</v>
      </c>
      <c r="G2" s="6">
        <v>456</v>
      </c>
      <c r="H2" s="8">
        <v>45863</v>
      </c>
      <c r="I2" s="6" t="s">
        <v>224</v>
      </c>
      <c r="J2" s="6"/>
      <c r="K2" s="6" t="s">
        <v>25</v>
      </c>
      <c r="L2" s="6">
        <v>100</v>
      </c>
      <c r="M2" s="8">
        <v>45839</v>
      </c>
      <c r="N2" s="6">
        <v>250</v>
      </c>
      <c r="O2" s="8">
        <v>45853</v>
      </c>
      <c r="P2" s="6">
        <v>734</v>
      </c>
      <c r="Q2" s="8">
        <v>45870</v>
      </c>
      <c r="R2" s="6"/>
      <c r="S2" s="6" t="s">
        <v>47</v>
      </c>
      <c r="T2" s="6"/>
    </row>
    <row r="3" spans="1:20" ht="15.75" x14ac:dyDescent="0.25">
      <c r="A3" s="3">
        <v>2</v>
      </c>
      <c r="B3" s="6" t="s">
        <v>30</v>
      </c>
      <c r="C3" s="6" t="s">
        <v>24</v>
      </c>
      <c r="D3" s="6" t="s">
        <v>50</v>
      </c>
      <c r="E3" s="6">
        <v>129</v>
      </c>
      <c r="F3" s="6">
        <v>6680510</v>
      </c>
      <c r="G3" s="6">
        <v>555</v>
      </c>
      <c r="H3" s="8">
        <v>45863</v>
      </c>
      <c r="I3" s="6">
        <v>81510</v>
      </c>
      <c r="J3" s="6"/>
      <c r="K3" s="6" t="s">
        <v>34</v>
      </c>
      <c r="L3" s="6">
        <v>111</v>
      </c>
      <c r="M3" s="8">
        <v>45840</v>
      </c>
      <c r="N3" s="6">
        <v>256</v>
      </c>
      <c r="O3" s="8">
        <v>45854</v>
      </c>
      <c r="P3" s="6"/>
      <c r="Q3" s="8"/>
      <c r="R3" s="6"/>
      <c r="S3" s="6"/>
      <c r="T3" s="6"/>
    </row>
    <row r="4" spans="1:20" ht="15.75" x14ac:dyDescent="0.25">
      <c r="A4" s="3">
        <v>3</v>
      </c>
      <c r="B4" s="6" t="s">
        <v>31</v>
      </c>
      <c r="C4" s="6" t="s">
        <v>45</v>
      </c>
      <c r="D4" s="6" t="s">
        <v>40</v>
      </c>
      <c r="E4" s="6">
        <v>135</v>
      </c>
      <c r="F4" s="6">
        <v>2118400</v>
      </c>
      <c r="G4" s="6">
        <v>654</v>
      </c>
      <c r="H4" s="8">
        <v>45863</v>
      </c>
      <c r="I4" s="6">
        <v>20634</v>
      </c>
      <c r="J4" s="6"/>
      <c r="K4" s="6" t="s">
        <v>35</v>
      </c>
      <c r="L4" s="6"/>
      <c r="M4" s="8"/>
      <c r="N4" s="6"/>
      <c r="O4" s="8"/>
      <c r="P4" s="6">
        <v>526</v>
      </c>
      <c r="Q4" s="8">
        <v>45871</v>
      </c>
      <c r="R4" s="6"/>
      <c r="S4" s="86" t="s">
        <v>57</v>
      </c>
      <c r="T4" s="6"/>
    </row>
    <row r="5" spans="1:20" ht="15.75" x14ac:dyDescent="0.25">
      <c r="A5" s="3">
        <v>4</v>
      </c>
      <c r="B5" s="6" t="s">
        <v>18</v>
      </c>
      <c r="C5" s="6" t="s">
        <v>24</v>
      </c>
      <c r="D5" s="6" t="s">
        <v>51</v>
      </c>
      <c r="E5" s="6">
        <v>141</v>
      </c>
      <c r="F5" s="6">
        <v>5918800</v>
      </c>
      <c r="G5" s="6">
        <v>753</v>
      </c>
      <c r="H5" s="8">
        <v>45863</v>
      </c>
      <c r="I5" s="6">
        <v>74814</v>
      </c>
      <c r="J5" s="6"/>
      <c r="K5" s="6" t="s">
        <v>36</v>
      </c>
      <c r="L5" s="6">
        <v>133</v>
      </c>
      <c r="M5" s="8">
        <v>45842</v>
      </c>
      <c r="N5" s="6">
        <v>268</v>
      </c>
      <c r="O5" s="8">
        <v>45856</v>
      </c>
      <c r="P5" s="6">
        <v>508</v>
      </c>
      <c r="Q5" s="8">
        <v>45893</v>
      </c>
      <c r="R5" s="6"/>
      <c r="S5" s="6" t="s">
        <v>47</v>
      </c>
      <c r="T5" s="6" t="s">
        <v>216</v>
      </c>
    </row>
    <row r="6" spans="1:20" ht="15.75" x14ac:dyDescent="0.25">
      <c r="A6" s="3">
        <v>5</v>
      </c>
      <c r="B6" s="6" t="s">
        <v>32</v>
      </c>
      <c r="C6" s="6" t="s">
        <v>45</v>
      </c>
      <c r="D6" s="6" t="s">
        <v>50</v>
      </c>
      <c r="E6" s="6">
        <v>985</v>
      </c>
      <c r="F6" s="6">
        <v>5918800</v>
      </c>
      <c r="G6" s="6">
        <v>111</v>
      </c>
      <c r="H6" s="8">
        <v>45858</v>
      </c>
      <c r="I6" s="6">
        <v>16544</v>
      </c>
      <c r="J6" s="6"/>
      <c r="K6" s="6" t="s">
        <v>37</v>
      </c>
      <c r="L6" s="6"/>
      <c r="M6" s="8"/>
      <c r="N6" s="6"/>
      <c r="O6" s="8"/>
      <c r="P6" s="6"/>
      <c r="Q6" s="8"/>
      <c r="R6" s="6"/>
      <c r="S6" s="6"/>
      <c r="T6" s="6"/>
    </row>
    <row r="7" spans="1:20" ht="15.75" x14ac:dyDescent="0.25">
      <c r="A7" s="3">
        <v>6</v>
      </c>
      <c r="B7" s="6" t="s">
        <v>33</v>
      </c>
      <c r="C7" s="6" t="s">
        <v>24</v>
      </c>
      <c r="D7" s="6" t="s">
        <v>40</v>
      </c>
      <c r="E7" s="6">
        <v>153</v>
      </c>
      <c r="F7" s="6">
        <v>5918800</v>
      </c>
      <c r="G7" s="6">
        <v>951</v>
      </c>
      <c r="H7" s="8">
        <v>45863</v>
      </c>
      <c r="I7" s="6">
        <v>16544</v>
      </c>
      <c r="J7" s="6"/>
      <c r="K7" s="6" t="s">
        <v>38</v>
      </c>
      <c r="L7" s="6">
        <v>155</v>
      </c>
      <c r="M7" s="8">
        <v>45844</v>
      </c>
      <c r="N7" s="6">
        <v>280</v>
      </c>
      <c r="O7" s="8">
        <v>45858</v>
      </c>
      <c r="P7" s="6"/>
      <c r="Q7" s="8"/>
      <c r="R7" s="6"/>
      <c r="S7" s="6" t="s">
        <v>47</v>
      </c>
      <c r="T7" s="6"/>
    </row>
    <row r="8" spans="1:20" ht="15.75" x14ac:dyDescent="0.25">
      <c r="A8" s="3">
        <v>7</v>
      </c>
      <c r="B8" s="6" t="s">
        <v>23</v>
      </c>
      <c r="C8" s="6" t="s">
        <v>24</v>
      </c>
      <c r="D8" s="6" t="s">
        <v>51</v>
      </c>
      <c r="E8" s="6">
        <v>325</v>
      </c>
      <c r="F8" s="6">
        <v>4291400</v>
      </c>
      <c r="G8" s="6">
        <v>123</v>
      </c>
      <c r="H8" s="8">
        <v>45863</v>
      </c>
      <c r="I8" s="6">
        <v>31580</v>
      </c>
      <c r="J8" s="6"/>
      <c r="K8" s="6" t="s">
        <v>25</v>
      </c>
      <c r="L8" s="6">
        <v>166</v>
      </c>
      <c r="M8" s="8">
        <v>45845</v>
      </c>
      <c r="N8" s="6">
        <v>286</v>
      </c>
      <c r="O8" s="8">
        <v>45859</v>
      </c>
      <c r="P8" s="6"/>
      <c r="Q8" s="8"/>
      <c r="R8" s="6"/>
      <c r="S8" s="6"/>
      <c r="T8" s="6"/>
    </row>
    <row r="9" spans="1:20" ht="15.75" x14ac:dyDescent="0.25">
      <c r="A9" s="3">
        <v>8</v>
      </c>
      <c r="B9" s="6" t="s">
        <v>30</v>
      </c>
      <c r="C9" s="6" t="s">
        <v>45</v>
      </c>
      <c r="D9" s="6" t="s">
        <v>50</v>
      </c>
      <c r="E9" s="6">
        <v>129</v>
      </c>
      <c r="F9" s="6">
        <v>5503011.5999999996</v>
      </c>
      <c r="G9" s="6">
        <v>555</v>
      </c>
      <c r="H9" s="8">
        <v>45863</v>
      </c>
      <c r="I9" s="6">
        <v>16544</v>
      </c>
      <c r="J9" s="6"/>
      <c r="K9" s="6" t="s">
        <v>34</v>
      </c>
      <c r="L9" s="6"/>
      <c r="M9" s="8"/>
      <c r="N9" s="6"/>
      <c r="O9" s="8"/>
      <c r="P9" s="6">
        <v>780</v>
      </c>
      <c r="Q9" s="8">
        <v>45870</v>
      </c>
      <c r="R9" s="6"/>
      <c r="S9" s="86" t="s">
        <v>57</v>
      </c>
      <c r="T9" s="6"/>
    </row>
    <row r="10" spans="1:20" ht="15.75" x14ac:dyDescent="0.25">
      <c r="A10" s="3">
        <v>9</v>
      </c>
      <c r="B10" s="6" t="s">
        <v>31</v>
      </c>
      <c r="C10" s="6" t="s">
        <v>24</v>
      </c>
      <c r="D10" s="6" t="s">
        <v>40</v>
      </c>
      <c r="E10" s="6">
        <v>135</v>
      </c>
      <c r="F10" s="6">
        <v>4236800</v>
      </c>
      <c r="G10" s="6">
        <v>654</v>
      </c>
      <c r="H10" s="8">
        <v>45863</v>
      </c>
      <c r="I10" s="6">
        <v>31580</v>
      </c>
      <c r="J10" s="6"/>
      <c r="K10" s="6" t="s">
        <v>35</v>
      </c>
      <c r="L10" s="6">
        <v>188</v>
      </c>
      <c r="M10" s="8">
        <v>45847</v>
      </c>
      <c r="N10" s="6">
        <v>298</v>
      </c>
      <c r="O10" s="8">
        <v>45861</v>
      </c>
      <c r="P10" s="6"/>
      <c r="Q10" s="8"/>
      <c r="R10" s="6"/>
      <c r="S10" s="6"/>
      <c r="T10" s="6"/>
    </row>
    <row r="11" spans="1:20" ht="15.75" x14ac:dyDescent="0.25">
      <c r="A11" s="3">
        <v>10</v>
      </c>
      <c r="B11" s="6" t="s">
        <v>18</v>
      </c>
      <c r="C11" s="6" t="s">
        <v>24</v>
      </c>
      <c r="D11" s="6" t="s">
        <v>51</v>
      </c>
      <c r="E11" s="6">
        <v>141</v>
      </c>
      <c r="F11" s="6">
        <v>27883177.5</v>
      </c>
      <c r="G11" s="6">
        <v>753</v>
      </c>
      <c r="H11" s="8">
        <v>45863</v>
      </c>
      <c r="I11" s="6" t="s">
        <v>225</v>
      </c>
      <c r="J11" s="6"/>
      <c r="K11" s="6" t="s">
        <v>36</v>
      </c>
      <c r="L11" s="6">
        <v>199</v>
      </c>
      <c r="M11" s="8">
        <v>45848</v>
      </c>
      <c r="N11" s="6">
        <v>304</v>
      </c>
      <c r="O11" s="8">
        <v>45862</v>
      </c>
      <c r="P11" s="6">
        <v>708</v>
      </c>
      <c r="Q11" s="8">
        <v>45876</v>
      </c>
      <c r="R11" s="6"/>
      <c r="S11" s="6" t="s">
        <v>47</v>
      </c>
      <c r="T11" s="6"/>
    </row>
    <row r="12" spans="1:20" ht="15.75" x14ac:dyDescent="0.25">
      <c r="A12" s="3">
        <v>11</v>
      </c>
      <c r="B12" s="6" t="s">
        <v>32</v>
      </c>
      <c r="C12" s="6" t="s">
        <v>45</v>
      </c>
      <c r="D12" s="6" t="s">
        <v>50</v>
      </c>
      <c r="E12" s="6">
        <v>147</v>
      </c>
      <c r="F12" s="6">
        <v>53258955</v>
      </c>
      <c r="G12" s="6">
        <v>852</v>
      </c>
      <c r="H12" s="8">
        <v>45863</v>
      </c>
      <c r="I12" s="6" t="s">
        <v>225</v>
      </c>
      <c r="J12" s="6"/>
      <c r="K12" s="6" t="s">
        <v>37</v>
      </c>
      <c r="L12" s="6"/>
      <c r="M12" s="8"/>
      <c r="N12" s="6"/>
      <c r="O12" s="8"/>
      <c r="P12" s="6">
        <v>559</v>
      </c>
      <c r="Q12" s="8">
        <v>45872</v>
      </c>
      <c r="R12" s="6"/>
      <c r="S12" s="86" t="s">
        <v>57</v>
      </c>
      <c r="T12" s="6"/>
    </row>
    <row r="13" spans="1:20" ht="15.75" x14ac:dyDescent="0.25">
      <c r="A13" s="3">
        <v>12</v>
      </c>
      <c r="B13" s="6" t="s">
        <v>33</v>
      </c>
      <c r="C13" s="6" t="s">
        <v>24</v>
      </c>
      <c r="D13" s="6" t="s">
        <v>40</v>
      </c>
      <c r="E13" s="6">
        <v>153</v>
      </c>
      <c r="F13" s="6">
        <v>5503011.5999999996</v>
      </c>
      <c r="G13" s="6">
        <v>951</v>
      </c>
      <c r="H13" s="8">
        <v>45863</v>
      </c>
      <c r="I13" s="6">
        <v>16544</v>
      </c>
      <c r="J13" s="6"/>
      <c r="K13" s="6" t="s">
        <v>38</v>
      </c>
      <c r="L13" s="6">
        <v>221</v>
      </c>
      <c r="M13" s="8">
        <v>45850</v>
      </c>
      <c r="N13" s="6">
        <v>316</v>
      </c>
      <c r="O13" s="8">
        <v>45864</v>
      </c>
      <c r="P13" s="6">
        <v>644</v>
      </c>
      <c r="Q13" s="8">
        <v>45866</v>
      </c>
      <c r="R13" s="6"/>
      <c r="S13" s="6" t="s">
        <v>47</v>
      </c>
      <c r="T13" s="6"/>
    </row>
    <row r="14" spans="1:20" ht="15.75" x14ac:dyDescent="0.25">
      <c r="A14" s="7">
        <v>13</v>
      </c>
      <c r="B14" s="6" t="s">
        <v>41</v>
      </c>
      <c r="C14" s="6" t="s">
        <v>45</v>
      </c>
      <c r="D14" s="6" t="s">
        <v>50</v>
      </c>
      <c r="E14" s="6">
        <v>125</v>
      </c>
      <c r="F14" s="6">
        <v>1</v>
      </c>
      <c r="G14" s="6">
        <v>152</v>
      </c>
      <c r="H14" s="8">
        <v>45869</v>
      </c>
      <c r="I14" s="6" t="s">
        <v>226</v>
      </c>
      <c r="J14" s="6"/>
      <c r="K14" s="6" t="s">
        <v>21</v>
      </c>
      <c r="L14" s="6"/>
      <c r="M14" s="8"/>
      <c r="N14" s="6"/>
      <c r="O14" s="8"/>
      <c r="P14" s="6"/>
      <c r="Q14" s="8"/>
      <c r="R14" s="6"/>
      <c r="S14" s="6"/>
      <c r="T14" s="6"/>
    </row>
    <row r="15" spans="1:20" ht="15.75" x14ac:dyDescent="0.25">
      <c r="A15" s="7">
        <v>14</v>
      </c>
      <c r="B15" s="6" t="s">
        <v>33</v>
      </c>
      <c r="C15" s="6" t="s">
        <v>24</v>
      </c>
      <c r="D15" s="6" t="s">
        <v>40</v>
      </c>
      <c r="E15" s="6">
        <v>153</v>
      </c>
      <c r="F15" s="6">
        <v>46157761</v>
      </c>
      <c r="G15" s="6">
        <v>951</v>
      </c>
      <c r="H15" s="8">
        <v>45863</v>
      </c>
      <c r="I15" s="6" t="s">
        <v>225</v>
      </c>
      <c r="J15" s="6"/>
      <c r="K15" s="6" t="s">
        <v>38</v>
      </c>
      <c r="L15" s="6">
        <v>221</v>
      </c>
      <c r="M15" s="8">
        <v>45850</v>
      </c>
      <c r="N15" s="6">
        <v>316</v>
      </c>
      <c r="O15" s="8">
        <v>45864</v>
      </c>
      <c r="P15" s="6">
        <v>645</v>
      </c>
      <c r="Q15" s="8">
        <v>45866</v>
      </c>
      <c r="R15" s="6"/>
      <c r="S15" s="6" t="s">
        <v>47</v>
      </c>
      <c r="T15" s="6"/>
    </row>
    <row r="16" spans="1:20" ht="15.75" x14ac:dyDescent="0.25">
      <c r="A16" s="9">
        <v>15</v>
      </c>
      <c r="B16" s="6" t="s">
        <v>23</v>
      </c>
      <c r="C16" s="6" t="s">
        <v>52</v>
      </c>
      <c r="D16" s="6" t="s">
        <v>50</v>
      </c>
      <c r="E16" s="6">
        <v>258</v>
      </c>
      <c r="F16" s="6">
        <v>211815000</v>
      </c>
      <c r="G16" s="6">
        <v>587</v>
      </c>
      <c r="H16" s="8">
        <v>45870</v>
      </c>
      <c r="I16" s="6">
        <v>48670</v>
      </c>
      <c r="J16" s="6"/>
      <c r="K16" s="6" t="s">
        <v>21</v>
      </c>
      <c r="L16" s="6"/>
      <c r="M16" s="8"/>
      <c r="N16" s="6"/>
      <c r="O16" s="8"/>
      <c r="P16" s="6"/>
      <c r="Q16" s="8"/>
      <c r="R16" s="6"/>
      <c r="S16" s="6"/>
      <c r="T16" s="6"/>
    </row>
    <row r="17" spans="1:20" ht="15.75" x14ac:dyDescent="0.25">
      <c r="A17" s="9">
        <v>16</v>
      </c>
      <c r="B17" s="6" t="s">
        <v>23</v>
      </c>
      <c r="C17" s="6" t="s">
        <v>52</v>
      </c>
      <c r="D17" s="6" t="s">
        <v>50</v>
      </c>
      <c r="E17" s="6" t="s">
        <v>53</v>
      </c>
      <c r="F17" s="6">
        <v>23535000</v>
      </c>
      <c r="G17" s="6">
        <v>587</v>
      </c>
      <c r="H17" s="87">
        <v>45870</v>
      </c>
      <c r="I17" s="6">
        <v>48670</v>
      </c>
      <c r="J17" s="9"/>
      <c r="K17" s="6" t="s">
        <v>25</v>
      </c>
      <c r="L17" s="7"/>
      <c r="M17" s="8"/>
      <c r="N17" s="6"/>
      <c r="O17" s="8"/>
      <c r="P17" s="6"/>
      <c r="Q17" s="8"/>
      <c r="R17" s="6"/>
      <c r="S17" s="6"/>
      <c r="T17" s="6"/>
    </row>
    <row r="18" spans="1:20" ht="15.75" x14ac:dyDescent="0.25">
      <c r="A18" s="9">
        <v>17</v>
      </c>
      <c r="B18" s="6" t="s">
        <v>31</v>
      </c>
      <c r="C18" s="9" t="s">
        <v>217</v>
      </c>
      <c r="D18" s="6"/>
      <c r="E18" s="6"/>
      <c r="F18" s="6">
        <v>23535000</v>
      </c>
      <c r="G18" s="7"/>
      <c r="H18" s="87"/>
      <c r="I18" s="6">
        <v>48670</v>
      </c>
      <c r="J18" s="9"/>
      <c r="K18" s="6" t="s">
        <v>21</v>
      </c>
      <c r="L18" s="7"/>
      <c r="M18" s="8"/>
      <c r="N18" s="6"/>
      <c r="O18" s="8"/>
      <c r="P18" s="6"/>
      <c r="Q18" s="8"/>
      <c r="R18" s="11"/>
      <c r="S18" s="6"/>
      <c r="T18" s="6" t="s">
        <v>218</v>
      </c>
    </row>
    <row r="19" spans="1:20" ht="15.75" x14ac:dyDescent="0.25">
      <c r="A19" s="9">
        <v>18</v>
      </c>
      <c r="B19" s="6" t="s">
        <v>43</v>
      </c>
      <c r="C19" s="9" t="s">
        <v>217</v>
      </c>
      <c r="D19" s="6" t="s">
        <v>20</v>
      </c>
      <c r="E19" s="6">
        <v>2354</v>
      </c>
      <c r="F19" s="6">
        <v>23535000</v>
      </c>
      <c r="G19" s="7">
        <v>154</v>
      </c>
      <c r="H19" s="87">
        <v>45878</v>
      </c>
      <c r="I19" s="6">
        <v>48670</v>
      </c>
      <c r="J19" s="9"/>
      <c r="K19" s="6" t="s">
        <v>22</v>
      </c>
      <c r="L19" s="7"/>
      <c r="M19" s="8"/>
      <c r="N19" s="6"/>
      <c r="O19" s="8"/>
      <c r="P19" s="6"/>
      <c r="Q19" s="8"/>
      <c r="R19" s="11"/>
      <c r="S19" s="6"/>
      <c r="T19" s="6" t="s">
        <v>219</v>
      </c>
    </row>
    <row r="20" spans="1:20" ht="15.75" x14ac:dyDescent="0.25">
      <c r="A20" s="9">
        <v>19</v>
      </c>
      <c r="B20" s="6" t="s">
        <v>43</v>
      </c>
      <c r="C20" s="9" t="s">
        <v>217</v>
      </c>
      <c r="D20" s="6" t="s">
        <v>20</v>
      </c>
      <c r="E20" s="6"/>
      <c r="F20" s="6">
        <v>23535000</v>
      </c>
      <c r="G20" s="9">
        <v>154</v>
      </c>
      <c r="H20" s="87">
        <v>45878</v>
      </c>
      <c r="I20" s="7">
        <v>48670</v>
      </c>
      <c r="J20" s="9"/>
      <c r="K20" s="6" t="s">
        <v>22</v>
      </c>
      <c r="L20" s="7"/>
      <c r="M20" s="8"/>
      <c r="N20" s="6"/>
      <c r="O20" s="8"/>
      <c r="P20" s="6"/>
      <c r="Q20" s="71"/>
      <c r="R20" s="11"/>
      <c r="S20" s="7"/>
      <c r="T20" s="6"/>
    </row>
    <row r="21" spans="1:20" ht="15.75" x14ac:dyDescent="0.25">
      <c r="A21" s="9">
        <v>20</v>
      </c>
      <c r="B21" s="6" t="s">
        <v>23</v>
      </c>
      <c r="C21" s="9" t="s">
        <v>24</v>
      </c>
      <c r="D21" s="6" t="s">
        <v>51</v>
      </c>
      <c r="E21" s="6"/>
      <c r="F21" s="6">
        <v>23535000</v>
      </c>
      <c r="G21" s="9">
        <v>123</v>
      </c>
      <c r="H21" s="87">
        <v>45863</v>
      </c>
      <c r="I21" s="7">
        <v>48670</v>
      </c>
      <c r="J21" s="9"/>
      <c r="K21" s="6" t="s">
        <v>25</v>
      </c>
      <c r="L21" s="7">
        <v>166</v>
      </c>
      <c r="M21" s="8">
        <v>45845</v>
      </c>
      <c r="N21" s="6">
        <v>286</v>
      </c>
      <c r="O21" s="8">
        <v>45859</v>
      </c>
      <c r="P21" s="6"/>
      <c r="Q21" s="71"/>
      <c r="R21" s="11"/>
      <c r="S21" s="7"/>
      <c r="T21" s="6"/>
    </row>
    <row r="22" spans="1:20" ht="15.75" x14ac:dyDescent="0.25">
      <c r="A22" s="9">
        <v>21</v>
      </c>
      <c r="B22" s="6" t="s">
        <v>23</v>
      </c>
      <c r="C22" s="9" t="s">
        <v>217</v>
      </c>
      <c r="D22" s="6"/>
      <c r="E22" s="6"/>
      <c r="F22" s="6">
        <v>23535000</v>
      </c>
      <c r="G22" s="9"/>
      <c r="H22" s="87"/>
      <c r="I22" s="7">
        <v>48670</v>
      </c>
      <c r="J22" s="9"/>
      <c r="K22" s="6" t="s">
        <v>21</v>
      </c>
      <c r="L22" s="7"/>
      <c r="M22" s="8"/>
      <c r="N22" s="6"/>
      <c r="O22" s="8"/>
      <c r="P22" s="6"/>
      <c r="Q22" s="71"/>
      <c r="R22" s="11"/>
      <c r="S22" s="7"/>
      <c r="T22" s="6" t="s">
        <v>222</v>
      </c>
    </row>
    <row r="23" spans="1:20" ht="15.75" x14ac:dyDescent="0.25">
      <c r="A23" s="9">
        <v>22</v>
      </c>
      <c r="B23" s="6" t="s">
        <v>19</v>
      </c>
      <c r="C23" s="9" t="s">
        <v>217</v>
      </c>
      <c r="D23" s="6" t="s">
        <v>20</v>
      </c>
      <c r="E23" s="6">
        <v>111</v>
      </c>
      <c r="F23" s="6">
        <v>23535000</v>
      </c>
      <c r="G23" s="9" t="s">
        <v>223</v>
      </c>
      <c r="H23" s="87">
        <v>45870</v>
      </c>
      <c r="I23" s="9">
        <v>48670</v>
      </c>
      <c r="J23" s="9"/>
      <c r="K23" s="7" t="s">
        <v>22</v>
      </c>
      <c r="L23" s="7"/>
      <c r="M23" s="8"/>
      <c r="N23" s="6"/>
      <c r="O23" s="8"/>
      <c r="P23" s="6"/>
      <c r="Q23" s="71"/>
      <c r="R23" s="11"/>
      <c r="S23" s="9" t="s">
        <v>57</v>
      </c>
      <c r="T23" s="6"/>
    </row>
    <row r="24" spans="1:20" ht="15.75" x14ac:dyDescent="0.25">
      <c r="A24" s="9">
        <v>23</v>
      </c>
      <c r="B24" s="6" t="s">
        <v>23</v>
      </c>
      <c r="C24" s="6" t="s">
        <v>24</v>
      </c>
      <c r="D24" s="6" t="s">
        <v>51</v>
      </c>
      <c r="E24" s="6"/>
      <c r="F24" s="6">
        <v>23535000</v>
      </c>
      <c r="G24" s="9"/>
      <c r="H24" s="9"/>
      <c r="I24" s="9">
        <v>48670</v>
      </c>
      <c r="J24" s="9"/>
      <c r="K24" s="6" t="s">
        <v>25</v>
      </c>
      <c r="L24" s="7"/>
      <c r="M24" s="6"/>
      <c r="N24" s="6"/>
      <c r="O24" s="8"/>
      <c r="P24" s="6"/>
      <c r="Q24" s="11"/>
      <c r="R24" s="11"/>
      <c r="S24" s="9"/>
      <c r="T24" s="6"/>
    </row>
    <row r="25" spans="1:20" ht="15.75" x14ac:dyDescent="0.25">
      <c r="A25" s="9">
        <v>24</v>
      </c>
      <c r="B25" s="6" t="s">
        <v>30</v>
      </c>
      <c r="C25" s="6" t="s">
        <v>24</v>
      </c>
      <c r="D25" s="6" t="s">
        <v>50</v>
      </c>
      <c r="E25" s="6"/>
      <c r="F25" s="6">
        <v>23535000</v>
      </c>
      <c r="G25" s="9"/>
      <c r="H25" s="9"/>
      <c r="I25" s="9">
        <v>48670</v>
      </c>
      <c r="J25" s="9"/>
      <c r="K25" s="6" t="s">
        <v>34</v>
      </c>
      <c r="L25" s="7"/>
      <c r="M25" s="6"/>
      <c r="N25" s="6"/>
      <c r="O25" s="8"/>
      <c r="P25" s="6"/>
      <c r="Q25" s="11"/>
      <c r="R25" s="11"/>
      <c r="S25" s="9"/>
      <c r="T25" s="6"/>
    </row>
    <row r="26" spans="1:20" ht="15.75" x14ac:dyDescent="0.25">
      <c r="A26" s="9">
        <v>25</v>
      </c>
      <c r="B26" s="6" t="s">
        <v>31</v>
      </c>
      <c r="C26" s="6" t="s">
        <v>45</v>
      </c>
      <c r="D26" s="6" t="s">
        <v>40</v>
      </c>
      <c r="E26" s="78"/>
      <c r="F26" s="79">
        <v>24165420.5</v>
      </c>
      <c r="G26" s="78"/>
      <c r="H26" s="78"/>
      <c r="I26" s="78" t="s">
        <v>225</v>
      </c>
      <c r="J26" s="78"/>
      <c r="K26" s="6" t="s">
        <v>35</v>
      </c>
      <c r="L26" s="3"/>
      <c r="M26" s="77"/>
      <c r="N26" s="77"/>
      <c r="O26" s="80"/>
      <c r="P26" s="77"/>
      <c r="Q26" s="81"/>
      <c r="R26" s="81"/>
      <c r="S26" s="78"/>
      <c r="T26" s="77"/>
    </row>
    <row r="27" spans="1:20" ht="15.75" x14ac:dyDescent="0.25">
      <c r="A27" s="9">
        <v>26</v>
      </c>
      <c r="B27" s="6" t="s">
        <v>18</v>
      </c>
      <c r="C27" s="6" t="s">
        <v>24</v>
      </c>
      <c r="D27" s="6" t="s">
        <v>51</v>
      </c>
      <c r="E27" s="78"/>
      <c r="F27" s="79">
        <v>112718.56</v>
      </c>
      <c r="G27" s="78"/>
      <c r="H27" s="78"/>
      <c r="I27" s="78" t="s">
        <v>227</v>
      </c>
      <c r="J27" s="78"/>
      <c r="K27" s="6" t="s">
        <v>36</v>
      </c>
      <c r="L27" s="3"/>
      <c r="M27" s="77"/>
      <c r="N27" s="77"/>
      <c r="O27" s="80"/>
      <c r="P27" s="77"/>
      <c r="Q27" s="81"/>
      <c r="R27" s="81"/>
      <c r="S27" s="78"/>
      <c r="T27" s="77"/>
    </row>
    <row r="28" spans="1:20" ht="15.75" x14ac:dyDescent="0.25">
      <c r="A28" s="9">
        <v>27</v>
      </c>
      <c r="B28" s="6" t="s">
        <v>32</v>
      </c>
      <c r="C28" s="6" t="s">
        <v>45</v>
      </c>
      <c r="D28" s="6" t="s">
        <v>50</v>
      </c>
      <c r="E28" s="78"/>
      <c r="F28" s="79">
        <v>47070000</v>
      </c>
      <c r="G28" s="78"/>
      <c r="H28" s="78"/>
      <c r="I28" s="78">
        <v>16544</v>
      </c>
      <c r="J28" s="78"/>
      <c r="K28" s="6" t="s">
        <v>37</v>
      </c>
      <c r="L28" s="3"/>
      <c r="M28" s="77"/>
      <c r="N28" s="77"/>
      <c r="O28" s="80"/>
      <c r="P28" s="77"/>
      <c r="Q28" s="81"/>
      <c r="R28" s="81"/>
      <c r="S28" s="78"/>
      <c r="T28" s="77"/>
    </row>
    <row r="29" spans="1:20" ht="15.75" x14ac:dyDescent="0.25">
      <c r="A29" s="9">
        <v>28</v>
      </c>
      <c r="B29" s="6" t="s">
        <v>33</v>
      </c>
      <c r="C29" s="6" t="s">
        <v>24</v>
      </c>
      <c r="D29" s="6" t="s">
        <v>40</v>
      </c>
      <c r="E29" s="78"/>
      <c r="F29" s="79">
        <v>47070000</v>
      </c>
      <c r="G29" s="78"/>
      <c r="H29" s="78"/>
      <c r="I29" s="78">
        <v>65384</v>
      </c>
      <c r="J29" s="78"/>
      <c r="K29" s="6" t="s">
        <v>38</v>
      </c>
      <c r="L29" s="3"/>
      <c r="M29" s="77"/>
      <c r="N29" s="77"/>
      <c r="O29" s="80"/>
      <c r="P29" s="77"/>
      <c r="Q29" s="81"/>
      <c r="R29" s="81"/>
      <c r="S29" s="78"/>
      <c r="T29" s="77"/>
    </row>
    <row r="30" spans="1:20" ht="15.75" x14ac:dyDescent="0.25">
      <c r="A30" s="9">
        <v>29</v>
      </c>
      <c r="B30" s="6" t="s">
        <v>23</v>
      </c>
      <c r="C30" s="6" t="s">
        <v>24</v>
      </c>
      <c r="D30" s="6" t="s">
        <v>51</v>
      </c>
      <c r="E30" s="9"/>
      <c r="F30" s="76">
        <v>70605000</v>
      </c>
      <c r="G30" s="9"/>
      <c r="H30" s="9"/>
      <c r="I30" s="9">
        <v>77192</v>
      </c>
      <c r="J30" s="9"/>
      <c r="K30" s="6" t="s">
        <v>25</v>
      </c>
      <c r="L30" s="7"/>
      <c r="M30" s="6"/>
      <c r="N30" s="6"/>
      <c r="O30" s="8"/>
      <c r="P30" s="6"/>
      <c r="Q30" s="11"/>
      <c r="R30" s="11"/>
      <c r="S30" s="9"/>
      <c r="T30" s="6"/>
    </row>
    <row r="31" spans="1:20" ht="15.75" x14ac:dyDescent="0.25">
      <c r="A31" s="9">
        <v>30</v>
      </c>
      <c r="B31" s="6" t="s">
        <v>30</v>
      </c>
      <c r="C31" s="6" t="s">
        <v>45</v>
      </c>
      <c r="D31" s="6" t="s">
        <v>50</v>
      </c>
      <c r="E31" s="9"/>
      <c r="F31" s="76">
        <v>1924076.8</v>
      </c>
      <c r="G31" s="9"/>
      <c r="H31" s="9"/>
      <c r="I31" s="9" t="s">
        <v>228</v>
      </c>
      <c r="J31" s="9"/>
      <c r="K31" s="6" t="s">
        <v>34</v>
      </c>
      <c r="L31" s="7"/>
      <c r="M31" s="6"/>
      <c r="N31" s="6"/>
      <c r="O31" s="8"/>
      <c r="P31" s="6"/>
      <c r="Q31" s="11"/>
      <c r="R31" s="11"/>
      <c r="S31" s="9"/>
      <c r="T31" s="6"/>
    </row>
    <row r="32" spans="1:20" ht="15.75" x14ac:dyDescent="0.25">
      <c r="A32" s="9">
        <v>31</v>
      </c>
      <c r="B32" s="6" t="s">
        <v>31</v>
      </c>
      <c r="C32" s="6" t="s">
        <v>24</v>
      </c>
      <c r="D32" s="6" t="s">
        <v>40</v>
      </c>
      <c r="E32" s="78"/>
      <c r="F32" s="79">
        <v>60586125.600000001</v>
      </c>
      <c r="G32" s="78"/>
      <c r="H32" s="78"/>
      <c r="I32" s="78">
        <v>65384</v>
      </c>
      <c r="J32" s="78"/>
      <c r="K32" s="6" t="s">
        <v>35</v>
      </c>
      <c r="L32" s="3"/>
      <c r="M32" s="77"/>
      <c r="N32" s="77"/>
      <c r="O32" s="80"/>
      <c r="P32" s="77"/>
      <c r="Q32" s="81"/>
      <c r="R32" s="81"/>
      <c r="S32" s="78"/>
      <c r="T32" s="77"/>
    </row>
    <row r="33" spans="1:20" ht="15.75" x14ac:dyDescent="0.25">
      <c r="A33" s="9">
        <v>32</v>
      </c>
      <c r="B33" s="6" t="s">
        <v>18</v>
      </c>
      <c r="C33" s="6" t="s">
        <v>24</v>
      </c>
      <c r="D33" s="6" t="s">
        <v>51</v>
      </c>
      <c r="E33" s="9"/>
      <c r="F33" s="76">
        <v>1429164.11</v>
      </c>
      <c r="G33" s="9"/>
      <c r="H33" s="9"/>
      <c r="I33" s="9">
        <v>65384</v>
      </c>
      <c r="J33" s="9"/>
      <c r="K33" s="6" t="s">
        <v>36</v>
      </c>
      <c r="L33" s="7"/>
      <c r="M33" s="6"/>
      <c r="N33" s="6"/>
      <c r="O33" s="8"/>
      <c r="P33" s="6"/>
      <c r="Q33" s="11"/>
      <c r="R33" s="11"/>
      <c r="S33" s="9"/>
      <c r="T33" s="6"/>
    </row>
    <row r="34" spans="1:20" ht="15.75" x14ac:dyDescent="0.25">
      <c r="A34" s="9">
        <v>33</v>
      </c>
      <c r="B34" s="6" t="s">
        <v>32</v>
      </c>
      <c r="C34" s="6" t="s">
        <v>45</v>
      </c>
      <c r="D34" s="6" t="s">
        <v>50</v>
      </c>
      <c r="E34" s="9"/>
      <c r="F34" s="76">
        <v>1135512</v>
      </c>
      <c r="G34" s="9"/>
      <c r="H34" s="9"/>
      <c r="I34" s="9">
        <v>53185</v>
      </c>
      <c r="J34" s="9"/>
      <c r="K34" s="6" t="s">
        <v>37</v>
      </c>
      <c r="L34" s="7"/>
      <c r="M34" s="6"/>
      <c r="N34" s="6"/>
      <c r="O34" s="8"/>
      <c r="P34" s="6"/>
      <c r="Q34" s="11"/>
      <c r="R34" s="11"/>
      <c r="S34" s="9"/>
      <c r="T34" s="6"/>
    </row>
    <row r="35" spans="1:20" ht="15.75" x14ac:dyDescent="0.25">
      <c r="A35" s="9">
        <v>34</v>
      </c>
      <c r="B35" s="6" t="s">
        <v>33</v>
      </c>
      <c r="C35" s="6" t="s">
        <v>24</v>
      </c>
      <c r="D35" s="6" t="s">
        <v>40</v>
      </c>
      <c r="E35" s="78"/>
      <c r="F35" s="79">
        <v>112741389.75</v>
      </c>
      <c r="G35" s="78"/>
      <c r="H35" s="78"/>
      <c r="I35" s="78">
        <v>48670</v>
      </c>
      <c r="J35" s="78"/>
      <c r="K35" s="6" t="s">
        <v>38</v>
      </c>
      <c r="L35" s="3"/>
      <c r="M35" s="77"/>
      <c r="N35" s="77"/>
      <c r="O35" s="80"/>
      <c r="P35" s="77"/>
      <c r="Q35" s="81"/>
      <c r="R35" s="81"/>
      <c r="S35" s="78"/>
      <c r="T35" s="77"/>
    </row>
    <row r="36" spans="1:20" ht="15.75" x14ac:dyDescent="0.25">
      <c r="A36" s="9">
        <v>35</v>
      </c>
      <c r="B36" s="6" t="s">
        <v>41</v>
      </c>
      <c r="C36" s="6" t="s">
        <v>45</v>
      </c>
      <c r="D36" s="6" t="s">
        <v>50</v>
      </c>
      <c r="E36" s="9"/>
      <c r="F36" s="76">
        <v>552566.28</v>
      </c>
      <c r="G36" s="9"/>
      <c r="H36" s="9"/>
      <c r="I36" s="9" t="s">
        <v>229</v>
      </c>
      <c r="J36" s="9"/>
      <c r="K36" s="6" t="s">
        <v>21</v>
      </c>
      <c r="L36" s="7"/>
      <c r="M36" s="6"/>
      <c r="N36" s="6"/>
      <c r="O36" s="8"/>
      <c r="P36" s="6"/>
      <c r="Q36" s="11"/>
      <c r="R36" s="11"/>
      <c r="S36" s="9"/>
      <c r="T36" s="6"/>
    </row>
    <row r="37" spans="1:20" ht="15.75" x14ac:dyDescent="0.25">
      <c r="A37" s="9">
        <v>36</v>
      </c>
      <c r="B37" s="6" t="s">
        <v>33</v>
      </c>
      <c r="C37" s="6" t="s">
        <v>24</v>
      </c>
      <c r="D37" s="6" t="s">
        <v>40</v>
      </c>
      <c r="E37" s="78"/>
      <c r="F37" s="79">
        <v>22548277.949999999</v>
      </c>
      <c r="G37" s="78"/>
      <c r="H37" s="78"/>
      <c r="I37" s="78">
        <v>16544</v>
      </c>
      <c r="J37" s="78"/>
      <c r="K37" s="6" t="s">
        <v>38</v>
      </c>
      <c r="L37" s="3"/>
      <c r="M37" s="77"/>
      <c r="N37" s="77"/>
      <c r="O37" s="80"/>
      <c r="P37" s="77"/>
      <c r="Q37" s="81"/>
      <c r="R37" s="81"/>
      <c r="S37" s="78"/>
      <c r="T37" s="77"/>
    </row>
    <row r="38" spans="1:20" ht="15.75" x14ac:dyDescent="0.25">
      <c r="A38" s="9">
        <v>37</v>
      </c>
      <c r="B38" s="6" t="s">
        <v>23</v>
      </c>
      <c r="C38" s="6" t="s">
        <v>52</v>
      </c>
      <c r="D38" s="6" t="s">
        <v>50</v>
      </c>
      <c r="E38" s="9"/>
      <c r="F38" s="76">
        <v>13866884.32</v>
      </c>
      <c r="G38" s="9"/>
      <c r="H38" s="9"/>
      <c r="I38" s="9">
        <v>43108</v>
      </c>
      <c r="J38" s="9"/>
      <c r="K38" s="6" t="s">
        <v>21</v>
      </c>
      <c r="L38" s="7"/>
      <c r="M38" s="6"/>
      <c r="N38" s="6"/>
      <c r="O38" s="8"/>
      <c r="P38" s="6"/>
      <c r="Q38" s="11"/>
      <c r="R38" s="11"/>
      <c r="S38" s="9"/>
      <c r="T38" s="6"/>
    </row>
    <row r="39" spans="1:20" ht="15.75" x14ac:dyDescent="0.25">
      <c r="A39" s="9">
        <v>38</v>
      </c>
      <c r="B39" s="6" t="s">
        <v>23</v>
      </c>
      <c r="C39" s="6" t="s">
        <v>52</v>
      </c>
      <c r="D39" s="6" t="s">
        <v>50</v>
      </c>
      <c r="E39" s="78"/>
      <c r="F39" s="79">
        <v>112569477.95</v>
      </c>
      <c r="G39" s="78"/>
      <c r="H39" s="78"/>
      <c r="I39" s="78">
        <v>48670</v>
      </c>
      <c r="J39" s="78"/>
      <c r="K39" s="6" t="s">
        <v>25</v>
      </c>
      <c r="L39" s="3"/>
      <c r="M39" s="77"/>
      <c r="N39" s="77"/>
      <c r="O39" s="80"/>
      <c r="P39" s="77"/>
      <c r="Q39" s="81"/>
      <c r="R39" s="81"/>
      <c r="S39" s="78"/>
      <c r="T39" s="77"/>
    </row>
    <row r="40" spans="1:20" ht="15.75" x14ac:dyDescent="0.25">
      <c r="A40" s="9">
        <v>39</v>
      </c>
      <c r="B40" s="6" t="s">
        <v>31</v>
      </c>
      <c r="C40" s="9" t="s">
        <v>217</v>
      </c>
      <c r="D40" s="6"/>
      <c r="E40" s="78"/>
      <c r="F40" s="79">
        <v>1174401.92</v>
      </c>
      <c r="G40" s="78"/>
      <c r="H40" s="78"/>
      <c r="I40" s="78" t="s">
        <v>229</v>
      </c>
      <c r="J40" s="78"/>
      <c r="K40" s="6" t="s">
        <v>21</v>
      </c>
      <c r="L40" s="3"/>
      <c r="M40" s="77"/>
      <c r="N40" s="77"/>
      <c r="O40" s="80"/>
      <c r="P40" s="77"/>
      <c r="Q40" s="81"/>
      <c r="R40" s="81"/>
      <c r="S40" s="78"/>
      <c r="T40" s="77"/>
    </row>
    <row r="41" spans="1:20" ht="15.75" x14ac:dyDescent="0.25">
      <c r="A41" s="9">
        <v>40</v>
      </c>
      <c r="B41" s="6" t="s">
        <v>43</v>
      </c>
      <c r="C41" s="9" t="s">
        <v>217</v>
      </c>
      <c r="D41" s="6" t="s">
        <v>20</v>
      </c>
      <c r="E41" s="78"/>
      <c r="F41" s="79">
        <v>151703.51999999999</v>
      </c>
      <c r="G41" s="78"/>
      <c r="H41" s="78"/>
      <c r="I41" s="78" t="s">
        <v>230</v>
      </c>
      <c r="J41" s="78"/>
      <c r="K41" s="6" t="s">
        <v>22</v>
      </c>
      <c r="L41" s="3"/>
      <c r="M41" s="77"/>
      <c r="N41" s="77"/>
      <c r="O41" s="80"/>
      <c r="P41" s="77"/>
      <c r="Q41" s="81"/>
      <c r="R41" s="81"/>
      <c r="S41" s="78"/>
      <c r="T41" s="77"/>
    </row>
  </sheetData>
  <phoneticPr fontId="21" type="noConversion"/>
  <pageMargins left="0.7" right="0.7" top="0.75" bottom="0.75" header="0.3" footer="0.3"/>
  <pageSetup paperSize="9" scale="48" fitToHeight="0" orientation="landscape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E11"/>
  <sheetViews>
    <sheetView workbookViewId="0">
      <selection activeCell="C4" sqref="C4"/>
    </sheetView>
  </sheetViews>
  <sheetFormatPr defaultRowHeight="15" x14ac:dyDescent="0.25"/>
  <cols>
    <col min="1" max="1" width="16.5703125" customWidth="1"/>
    <col min="3" max="3" width="44.5703125" customWidth="1"/>
    <col min="5" max="5" width="17.28515625" customWidth="1"/>
  </cols>
  <sheetData>
    <row r="1" spans="1:5" ht="17.25" x14ac:dyDescent="0.3">
      <c r="A1" s="4" t="s">
        <v>15</v>
      </c>
      <c r="C1" s="4" t="s">
        <v>16</v>
      </c>
      <c r="E1" s="4" t="s">
        <v>17</v>
      </c>
    </row>
    <row r="2" spans="1:5" x14ac:dyDescent="0.25">
      <c r="A2" t="s">
        <v>18</v>
      </c>
      <c r="C2" t="s">
        <v>20</v>
      </c>
      <c r="E2" t="s">
        <v>21</v>
      </c>
    </row>
    <row r="3" spans="1:5" x14ac:dyDescent="0.25">
      <c r="A3" t="s">
        <v>19</v>
      </c>
      <c r="C3" t="s">
        <v>50</v>
      </c>
      <c r="E3" t="s">
        <v>22</v>
      </c>
    </row>
    <row r="4" spans="1:5" x14ac:dyDescent="0.25">
      <c r="A4" t="s">
        <v>31</v>
      </c>
      <c r="C4" t="s">
        <v>40</v>
      </c>
    </row>
    <row r="5" spans="1:5" x14ac:dyDescent="0.25">
      <c r="A5" t="s">
        <v>41</v>
      </c>
    </row>
    <row r="6" spans="1:5" x14ac:dyDescent="0.25">
      <c r="A6" t="s">
        <v>30</v>
      </c>
    </row>
    <row r="7" spans="1:5" x14ac:dyDescent="0.25">
      <c r="A7" t="s">
        <v>23</v>
      </c>
    </row>
    <row r="8" spans="1:5" x14ac:dyDescent="0.25">
      <c r="A8" t="s">
        <v>42</v>
      </c>
    </row>
    <row r="9" spans="1:5" x14ac:dyDescent="0.25">
      <c r="A9" t="s">
        <v>43</v>
      </c>
    </row>
    <row r="10" spans="1:5" x14ac:dyDescent="0.25">
      <c r="A10" t="s">
        <v>44</v>
      </c>
    </row>
    <row r="11" spans="1:5" x14ac:dyDescent="0.25">
      <c r="A11" t="s">
        <v>33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26</v>
      </c>
      <c r="B1">
        <v>33</v>
      </c>
    </row>
    <row r="2" spans="1:2" x14ac:dyDescent="0.25">
      <c r="A2" t="s">
        <v>27</v>
      </c>
      <c r="B2">
        <v>71.25</v>
      </c>
    </row>
    <row r="3" spans="1:2" x14ac:dyDescent="0.25">
      <c r="A3" t="s">
        <v>28</v>
      </c>
      <c r="B3">
        <v>265.5</v>
      </c>
    </row>
    <row r="4" spans="1:2" x14ac:dyDescent="0.25">
      <c r="A4" t="s">
        <v>29</v>
      </c>
      <c r="B4" s="5">
        <v>46085.020555555559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1C9F4-9FF5-4810-8C46-59E2D5662613}">
  <sheetPr codeName="Лист11"/>
  <dimension ref="A1"/>
  <sheetViews>
    <sheetView workbookViewId="0">
      <selection activeCell="G17" sqref="G17"/>
    </sheetView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EA21-8743-4F14-A9CF-8C20D5EECC7B}">
  <sheetPr codeName="Лист12"/>
  <dimension ref="A2:F101"/>
  <sheetViews>
    <sheetView workbookViewId="0">
      <selection activeCell="C4" sqref="C4"/>
    </sheetView>
  </sheetViews>
  <sheetFormatPr defaultRowHeight="15" x14ac:dyDescent="0.25"/>
  <cols>
    <col min="1" max="1" width="15.28515625" bestFit="1" customWidth="1"/>
    <col min="2" max="2" width="20.85546875" bestFit="1" customWidth="1"/>
    <col min="3" max="3" width="45.28515625" bestFit="1" customWidth="1"/>
    <col min="4" max="4" width="8.5703125" bestFit="1" customWidth="1"/>
    <col min="5" max="5" width="9" bestFit="1" customWidth="1"/>
    <col min="6" max="6" width="16.85546875" bestFit="1" customWidth="1"/>
  </cols>
  <sheetData>
    <row r="2" spans="1:6" x14ac:dyDescent="0.25">
      <c r="A2" s="5">
        <v>45907.856539351851</v>
      </c>
      <c r="B2" t="s">
        <v>241</v>
      </c>
      <c r="C2" t="s">
        <v>242</v>
      </c>
      <c r="D2" t="s">
        <v>231</v>
      </c>
      <c r="E2">
        <v>0</v>
      </c>
      <c r="F2" t="s">
        <v>232</v>
      </c>
    </row>
    <row r="3" spans="1:6" x14ac:dyDescent="0.25">
      <c r="A3" s="84">
        <v>45907.856539351851</v>
      </c>
      <c r="B3" s="85" t="s">
        <v>241</v>
      </c>
      <c r="C3" s="85" t="s">
        <v>247</v>
      </c>
      <c r="D3" s="85" t="s">
        <v>236</v>
      </c>
      <c r="E3" s="85">
        <v>0</v>
      </c>
      <c r="F3" s="85" t="s">
        <v>232</v>
      </c>
    </row>
    <row r="4" spans="1:6" x14ac:dyDescent="0.25">
      <c r="A4" s="84">
        <v>45907.857048611113</v>
      </c>
      <c r="B4" s="85" t="s">
        <v>244</v>
      </c>
      <c r="C4" s="85" t="s">
        <v>246</v>
      </c>
      <c r="D4" s="85" t="s">
        <v>236</v>
      </c>
      <c r="E4" s="85">
        <v>43.99</v>
      </c>
      <c r="F4" s="85" t="s">
        <v>232</v>
      </c>
    </row>
    <row r="5" spans="1:6" x14ac:dyDescent="0.25">
      <c r="A5" s="82">
        <v>45907.861481481479</v>
      </c>
      <c r="B5" s="83" t="s">
        <v>244</v>
      </c>
      <c r="C5" s="83" t="s">
        <v>245</v>
      </c>
      <c r="D5" s="83" t="s">
        <v>233</v>
      </c>
      <c r="E5" s="83">
        <v>74432.2</v>
      </c>
      <c r="F5" s="83" t="s">
        <v>232</v>
      </c>
    </row>
    <row r="6" spans="1:6" x14ac:dyDescent="0.25">
      <c r="A6" s="5">
        <v>45907.861481481479</v>
      </c>
      <c r="B6" t="s">
        <v>241</v>
      </c>
      <c r="C6" t="s">
        <v>242</v>
      </c>
      <c r="D6" t="s">
        <v>231</v>
      </c>
      <c r="E6">
        <v>0</v>
      </c>
      <c r="F6" t="s">
        <v>232</v>
      </c>
    </row>
    <row r="7" spans="1:6" x14ac:dyDescent="0.25">
      <c r="A7" s="84">
        <v>45907.861481481479</v>
      </c>
      <c r="B7" s="85" t="s">
        <v>241</v>
      </c>
      <c r="C7" s="85" t="s">
        <v>248</v>
      </c>
      <c r="D7" s="85" t="s">
        <v>236</v>
      </c>
      <c r="E7" s="85">
        <v>0</v>
      </c>
      <c r="F7" s="85" t="s">
        <v>232</v>
      </c>
    </row>
    <row r="8" spans="1:6" x14ac:dyDescent="0.25">
      <c r="A8" s="84">
        <v>45907.861793981479</v>
      </c>
      <c r="B8" s="85" t="s">
        <v>244</v>
      </c>
      <c r="C8" s="85" t="s">
        <v>246</v>
      </c>
      <c r="D8" s="85" t="s">
        <v>236</v>
      </c>
      <c r="E8" s="85">
        <v>26.98</v>
      </c>
      <c r="F8" s="85" t="s">
        <v>232</v>
      </c>
    </row>
    <row r="9" spans="1:6" x14ac:dyDescent="0.25">
      <c r="A9" s="82">
        <v>45907.871168981481</v>
      </c>
      <c r="B9" s="83" t="s">
        <v>244</v>
      </c>
      <c r="C9" s="83" t="s">
        <v>245</v>
      </c>
      <c r="D9" s="83" t="s">
        <v>233</v>
      </c>
      <c r="E9" s="83">
        <v>75269.320000000007</v>
      </c>
      <c r="F9" s="83" t="s">
        <v>232</v>
      </c>
    </row>
    <row r="10" spans="1:6" x14ac:dyDescent="0.25">
      <c r="A10" s="5">
        <v>45907.871168981481</v>
      </c>
      <c r="B10" t="s">
        <v>241</v>
      </c>
      <c r="C10" t="s">
        <v>242</v>
      </c>
      <c r="D10" t="s">
        <v>231</v>
      </c>
      <c r="E10">
        <v>0</v>
      </c>
      <c r="F10" t="s">
        <v>232</v>
      </c>
    </row>
    <row r="11" spans="1:6" x14ac:dyDescent="0.25">
      <c r="A11" s="84">
        <v>45907.871168981481</v>
      </c>
      <c r="B11" s="85" t="s">
        <v>241</v>
      </c>
      <c r="C11" s="85" t="s">
        <v>249</v>
      </c>
      <c r="D11" s="85" t="s">
        <v>236</v>
      </c>
      <c r="E11" s="85">
        <v>0</v>
      </c>
      <c r="F11" s="85" t="s">
        <v>232</v>
      </c>
    </row>
    <row r="12" spans="1:6" x14ac:dyDescent="0.25">
      <c r="A12" s="84">
        <v>45907.871388888889</v>
      </c>
      <c r="B12" s="85" t="s">
        <v>244</v>
      </c>
      <c r="C12" s="85" t="s">
        <v>246</v>
      </c>
      <c r="D12" s="85" t="s">
        <v>236</v>
      </c>
      <c r="E12" s="85">
        <v>18.73</v>
      </c>
      <c r="F12" s="85" t="s">
        <v>232</v>
      </c>
    </row>
    <row r="13" spans="1:6" x14ac:dyDescent="0.25">
      <c r="A13" s="82">
        <v>45907.871840277781</v>
      </c>
      <c r="B13" s="83" t="s">
        <v>244</v>
      </c>
      <c r="C13" s="83" t="s">
        <v>245</v>
      </c>
      <c r="D13" s="83" t="s">
        <v>233</v>
      </c>
      <c r="E13" s="83">
        <v>75327.44</v>
      </c>
      <c r="F13" s="83" t="s">
        <v>232</v>
      </c>
    </row>
    <row r="14" spans="1:6" x14ac:dyDescent="0.25">
      <c r="A14" s="5">
        <v>45907.871840277781</v>
      </c>
      <c r="B14" t="s">
        <v>241</v>
      </c>
      <c r="C14" t="s">
        <v>242</v>
      </c>
      <c r="D14" t="s">
        <v>231</v>
      </c>
      <c r="E14">
        <v>0</v>
      </c>
      <c r="F14" t="s">
        <v>232</v>
      </c>
    </row>
    <row r="15" spans="1:6" x14ac:dyDescent="0.25">
      <c r="A15" s="84">
        <v>45907.871840277781</v>
      </c>
      <c r="B15" s="85" t="s">
        <v>241</v>
      </c>
      <c r="C15" s="85" t="s">
        <v>250</v>
      </c>
      <c r="D15" s="85" t="s">
        <v>236</v>
      </c>
      <c r="E15" s="85">
        <v>0</v>
      </c>
      <c r="F15" s="85" t="s">
        <v>232</v>
      </c>
    </row>
    <row r="16" spans="1:6" x14ac:dyDescent="0.25">
      <c r="A16" s="84">
        <v>45907.872071759259</v>
      </c>
      <c r="B16" s="85" t="s">
        <v>244</v>
      </c>
      <c r="C16" s="85" t="s">
        <v>246</v>
      </c>
      <c r="D16" s="85" t="s">
        <v>236</v>
      </c>
      <c r="E16" s="85">
        <v>19.77</v>
      </c>
      <c r="F16" s="85" t="s">
        <v>232</v>
      </c>
    </row>
    <row r="17" spans="1:6" x14ac:dyDescent="0.25">
      <c r="A17" s="82">
        <v>45907.950636574074</v>
      </c>
      <c r="B17" s="83" t="s">
        <v>237</v>
      </c>
      <c r="C17" s="83" t="s">
        <v>238</v>
      </c>
      <c r="D17" s="83" t="s">
        <v>233</v>
      </c>
      <c r="E17" s="83">
        <v>82135.83</v>
      </c>
      <c r="F17" s="83" t="s">
        <v>232</v>
      </c>
    </row>
    <row r="18" spans="1:6" x14ac:dyDescent="0.25">
      <c r="A18" s="84">
        <v>45907.951238425929</v>
      </c>
      <c r="B18" s="85" t="s">
        <v>237</v>
      </c>
      <c r="C18" s="85" t="s">
        <v>239</v>
      </c>
      <c r="D18" s="85" t="s">
        <v>236</v>
      </c>
      <c r="E18" s="85">
        <v>51.45</v>
      </c>
      <c r="F18" s="85" t="s">
        <v>232</v>
      </c>
    </row>
    <row r="19" spans="1:6" x14ac:dyDescent="0.25">
      <c r="A19" s="82">
        <v>45907.968101851853</v>
      </c>
      <c r="B19" s="83" t="s">
        <v>244</v>
      </c>
      <c r="C19" s="83" t="s">
        <v>245</v>
      </c>
      <c r="D19" s="83" t="s">
        <v>233</v>
      </c>
      <c r="E19" s="83">
        <v>83644.3</v>
      </c>
      <c r="F19" s="83" t="s">
        <v>232</v>
      </c>
    </row>
    <row r="20" spans="1:6" x14ac:dyDescent="0.25">
      <c r="A20" s="5">
        <v>45907.968101851853</v>
      </c>
      <c r="B20" t="s">
        <v>241</v>
      </c>
      <c r="C20" t="s">
        <v>242</v>
      </c>
      <c r="D20" t="s">
        <v>231</v>
      </c>
      <c r="E20">
        <v>0</v>
      </c>
      <c r="F20" t="s">
        <v>232</v>
      </c>
    </row>
    <row r="21" spans="1:6" x14ac:dyDescent="0.25">
      <c r="A21" s="84">
        <v>45907.968101851853</v>
      </c>
      <c r="B21" s="85" t="s">
        <v>241</v>
      </c>
      <c r="C21" s="85" t="s">
        <v>251</v>
      </c>
      <c r="D21" s="85" t="s">
        <v>236</v>
      </c>
      <c r="E21" s="85">
        <v>0</v>
      </c>
      <c r="F21" s="85" t="s">
        <v>232</v>
      </c>
    </row>
    <row r="22" spans="1:6" x14ac:dyDescent="0.25">
      <c r="A22" s="84">
        <v>45907.968668981484</v>
      </c>
      <c r="B22" s="85" t="s">
        <v>244</v>
      </c>
      <c r="C22" s="85" t="s">
        <v>246</v>
      </c>
      <c r="D22" s="85" t="s">
        <v>236</v>
      </c>
      <c r="E22" s="85">
        <v>48.76</v>
      </c>
      <c r="F22" s="85" t="s">
        <v>232</v>
      </c>
    </row>
    <row r="23" spans="1:6" x14ac:dyDescent="0.25">
      <c r="A23" s="84">
        <v>45908.003379629627</v>
      </c>
      <c r="B23" s="85" t="s">
        <v>234</v>
      </c>
      <c r="C23" s="85" t="s">
        <v>235</v>
      </c>
      <c r="D23" s="85" t="s">
        <v>236</v>
      </c>
      <c r="E23" s="85">
        <v>0</v>
      </c>
      <c r="F23" s="85" t="s">
        <v>232</v>
      </c>
    </row>
    <row r="24" spans="1:6" x14ac:dyDescent="0.25">
      <c r="A24" s="84">
        <v>45908.011516203704</v>
      </c>
      <c r="B24" s="85" t="s">
        <v>234</v>
      </c>
      <c r="C24" s="85" t="s">
        <v>235</v>
      </c>
      <c r="D24" s="85" t="s">
        <v>236</v>
      </c>
      <c r="E24" s="85">
        <v>0</v>
      </c>
      <c r="F24" s="85" t="s">
        <v>232</v>
      </c>
    </row>
    <row r="25" spans="1:6" x14ac:dyDescent="0.25">
      <c r="A25" s="84">
        <v>45908.013703703706</v>
      </c>
      <c r="B25" s="85" t="s">
        <v>234</v>
      </c>
      <c r="C25" s="85" t="s">
        <v>235</v>
      </c>
      <c r="D25" s="85" t="s">
        <v>236</v>
      </c>
      <c r="E25" s="85">
        <v>0</v>
      </c>
      <c r="F25" s="85" t="s">
        <v>232</v>
      </c>
    </row>
    <row r="26" spans="1:6" x14ac:dyDescent="0.25">
      <c r="A26" s="84">
        <v>45914.923877314817</v>
      </c>
      <c r="B26" s="85" t="s">
        <v>234</v>
      </c>
      <c r="C26" s="85" t="s">
        <v>235</v>
      </c>
      <c r="D26" s="85" t="s">
        <v>236</v>
      </c>
      <c r="E26" s="85">
        <v>0</v>
      </c>
      <c r="F26" s="85" t="s">
        <v>232</v>
      </c>
    </row>
    <row r="27" spans="1:6" x14ac:dyDescent="0.25">
      <c r="A27" s="82">
        <v>45914.944212962961</v>
      </c>
      <c r="B27" s="83" t="s">
        <v>237</v>
      </c>
      <c r="C27" s="83" t="s">
        <v>238</v>
      </c>
      <c r="D27" s="83" t="s">
        <v>233</v>
      </c>
      <c r="E27" s="83">
        <v>81580.800000000003</v>
      </c>
      <c r="F27" s="83" t="s">
        <v>232</v>
      </c>
    </row>
    <row r="28" spans="1:6" x14ac:dyDescent="0.25">
      <c r="A28" s="84">
        <v>45914.944652777776</v>
      </c>
      <c r="B28" s="85" t="s">
        <v>237</v>
      </c>
      <c r="C28" s="85" t="s">
        <v>239</v>
      </c>
      <c r="D28" s="85" t="s">
        <v>236</v>
      </c>
      <c r="E28" s="85">
        <v>37.53</v>
      </c>
      <c r="F28" s="85" t="s">
        <v>232</v>
      </c>
    </row>
    <row r="29" spans="1:6" x14ac:dyDescent="0.25">
      <c r="A29" s="82">
        <v>45914.955775462964</v>
      </c>
      <c r="B29" s="83" t="s">
        <v>237</v>
      </c>
      <c r="C29" s="83" t="s">
        <v>238</v>
      </c>
      <c r="D29" s="83" t="s">
        <v>233</v>
      </c>
      <c r="E29" s="83">
        <v>82579.67</v>
      </c>
      <c r="F29" s="83" t="s">
        <v>232</v>
      </c>
    </row>
    <row r="30" spans="1:6" x14ac:dyDescent="0.25">
      <c r="A30" s="84">
        <v>45914.955937500003</v>
      </c>
      <c r="B30" s="85" t="s">
        <v>237</v>
      </c>
      <c r="C30" s="85" t="s">
        <v>239</v>
      </c>
      <c r="D30" s="85" t="s">
        <v>236</v>
      </c>
      <c r="E30" s="85">
        <v>13.4</v>
      </c>
      <c r="F30" s="85" t="s">
        <v>232</v>
      </c>
    </row>
    <row r="31" spans="1:6" x14ac:dyDescent="0.25">
      <c r="A31" s="82">
        <v>45914.955949074072</v>
      </c>
      <c r="B31" s="83" t="s">
        <v>237</v>
      </c>
      <c r="C31" s="83" t="s">
        <v>238</v>
      </c>
      <c r="D31" s="83" t="s">
        <v>233</v>
      </c>
      <c r="E31" s="83">
        <v>82594.66</v>
      </c>
      <c r="F31" s="83" t="s">
        <v>232</v>
      </c>
    </row>
    <row r="32" spans="1:6" x14ac:dyDescent="0.25">
      <c r="A32" s="84">
        <v>45914.956261574072</v>
      </c>
      <c r="B32" s="85" t="s">
        <v>237</v>
      </c>
      <c r="C32" s="85" t="s">
        <v>239</v>
      </c>
      <c r="D32" s="85" t="s">
        <v>236</v>
      </c>
      <c r="E32" s="85">
        <v>26.83</v>
      </c>
      <c r="F32" s="85" t="s">
        <v>232</v>
      </c>
    </row>
    <row r="33" spans="1:6" x14ac:dyDescent="0.25">
      <c r="A33" s="84">
        <v>46020.011388888888</v>
      </c>
      <c r="B33" s="85" t="s">
        <v>234</v>
      </c>
      <c r="C33" s="85" t="s">
        <v>235</v>
      </c>
      <c r="D33" s="85" t="s">
        <v>236</v>
      </c>
      <c r="E33" s="85">
        <v>0</v>
      </c>
      <c r="F33" s="85" t="s">
        <v>232</v>
      </c>
    </row>
    <row r="34" spans="1:6" x14ac:dyDescent="0.25">
      <c r="A34" s="84">
        <v>46020.032523148147</v>
      </c>
      <c r="B34" s="85" t="s">
        <v>234</v>
      </c>
      <c r="C34" s="85" t="s">
        <v>235</v>
      </c>
      <c r="D34" s="85" t="s">
        <v>236</v>
      </c>
      <c r="E34" s="85">
        <v>0</v>
      </c>
      <c r="F34" s="85" t="s">
        <v>232</v>
      </c>
    </row>
    <row r="35" spans="1:6" x14ac:dyDescent="0.25">
      <c r="A35" s="84">
        <v>46020.925567129627</v>
      </c>
      <c r="B35" s="85" t="s">
        <v>234</v>
      </c>
      <c r="C35" s="85" t="s">
        <v>235</v>
      </c>
      <c r="D35" s="85" t="s">
        <v>236</v>
      </c>
      <c r="E35" s="85">
        <v>0</v>
      </c>
      <c r="F35" s="85" t="s">
        <v>232</v>
      </c>
    </row>
    <row r="36" spans="1:6" x14ac:dyDescent="0.25">
      <c r="A36" s="84">
        <v>46020.926423611112</v>
      </c>
      <c r="B36" s="85" t="s">
        <v>234</v>
      </c>
      <c r="C36" s="85" t="s">
        <v>235</v>
      </c>
      <c r="D36" s="85" t="s">
        <v>236</v>
      </c>
      <c r="E36" s="85">
        <v>0</v>
      </c>
      <c r="F36" s="85" t="s">
        <v>232</v>
      </c>
    </row>
    <row r="37" spans="1:6" x14ac:dyDescent="0.25">
      <c r="A37" s="84">
        <v>46021.031006944446</v>
      </c>
      <c r="B37" s="85" t="s">
        <v>234</v>
      </c>
      <c r="C37" s="85" t="s">
        <v>235</v>
      </c>
      <c r="D37" s="85" t="s">
        <v>236</v>
      </c>
      <c r="E37" s="85">
        <v>0</v>
      </c>
      <c r="F37" s="85" t="s">
        <v>232</v>
      </c>
    </row>
    <row r="38" spans="1:6" x14ac:dyDescent="0.25">
      <c r="A38" s="82">
        <v>46021.03670138889</v>
      </c>
      <c r="B38" s="83" t="s">
        <v>237</v>
      </c>
      <c r="C38" s="83" t="s">
        <v>238</v>
      </c>
      <c r="D38" s="83" t="s">
        <v>233</v>
      </c>
      <c r="E38" s="83">
        <v>3171.19</v>
      </c>
      <c r="F38" s="83" t="s">
        <v>232</v>
      </c>
    </row>
    <row r="39" spans="1:6" x14ac:dyDescent="0.25">
      <c r="A39" s="84">
        <v>46021.036736111113</v>
      </c>
      <c r="B39" s="85" t="s">
        <v>237</v>
      </c>
      <c r="C39" s="85" t="s">
        <v>239</v>
      </c>
      <c r="D39" s="85" t="s">
        <v>236</v>
      </c>
      <c r="E39" s="85">
        <v>3.26</v>
      </c>
      <c r="F39" s="85" t="s">
        <v>232</v>
      </c>
    </row>
    <row r="40" spans="1:6" x14ac:dyDescent="0.25">
      <c r="A40" s="84">
        <v>46028.93136574074</v>
      </c>
      <c r="B40" s="85" t="s">
        <v>234</v>
      </c>
      <c r="C40" s="85" t="s">
        <v>235</v>
      </c>
      <c r="D40" s="85" t="s">
        <v>236</v>
      </c>
      <c r="E40" s="85">
        <v>0</v>
      </c>
      <c r="F40" s="85" t="s">
        <v>232</v>
      </c>
    </row>
    <row r="41" spans="1:6" x14ac:dyDescent="0.25">
      <c r="A41" s="84">
        <v>46028.976990740739</v>
      </c>
      <c r="B41" s="85" t="s">
        <v>234</v>
      </c>
      <c r="C41" s="85" t="s">
        <v>235</v>
      </c>
      <c r="D41" s="85" t="s">
        <v>236</v>
      </c>
      <c r="E41" s="85">
        <v>0</v>
      </c>
      <c r="F41" s="85" t="s">
        <v>232</v>
      </c>
    </row>
    <row r="42" spans="1:6" x14ac:dyDescent="0.25">
      <c r="A42" s="84">
        <v>46028.988252314812</v>
      </c>
      <c r="B42" s="85" t="s">
        <v>234</v>
      </c>
      <c r="C42" s="85" t="s">
        <v>235</v>
      </c>
      <c r="D42" s="85" t="s">
        <v>236</v>
      </c>
      <c r="E42" s="85">
        <v>0</v>
      </c>
      <c r="F42" s="85" t="s">
        <v>232</v>
      </c>
    </row>
    <row r="43" spans="1:6" x14ac:dyDescent="0.25">
      <c r="A43" s="84">
        <v>46029.075428240743</v>
      </c>
      <c r="B43" s="85" t="s">
        <v>234</v>
      </c>
      <c r="C43" s="85" t="s">
        <v>235</v>
      </c>
      <c r="D43" s="85" t="s">
        <v>236</v>
      </c>
      <c r="E43" s="85">
        <v>0</v>
      </c>
      <c r="F43" s="85" t="s">
        <v>232</v>
      </c>
    </row>
    <row r="44" spans="1:6" x14ac:dyDescent="0.25">
      <c r="A44" s="82">
        <v>46029.076168981483</v>
      </c>
      <c r="B44" s="83" t="s">
        <v>237</v>
      </c>
      <c r="C44" s="83" t="s">
        <v>238</v>
      </c>
      <c r="D44" s="83" t="s">
        <v>233</v>
      </c>
      <c r="E44" s="83">
        <v>6581.84</v>
      </c>
      <c r="F44" s="83" t="s">
        <v>232</v>
      </c>
    </row>
    <row r="45" spans="1:6" x14ac:dyDescent="0.25">
      <c r="A45" s="84">
        <v>46029.076284722221</v>
      </c>
      <c r="B45" s="85" t="s">
        <v>237</v>
      </c>
      <c r="C45" s="85" t="s">
        <v>239</v>
      </c>
      <c r="D45" s="85" t="s">
        <v>236</v>
      </c>
      <c r="E45" s="85">
        <v>9.2200000000000006</v>
      </c>
      <c r="F45" s="85" t="s">
        <v>232</v>
      </c>
    </row>
    <row r="46" spans="1:6" x14ac:dyDescent="0.25">
      <c r="A46" s="84">
        <v>46029.942696759259</v>
      </c>
      <c r="B46" s="85" t="s">
        <v>234</v>
      </c>
      <c r="C46" s="85" t="s">
        <v>235</v>
      </c>
      <c r="D46" s="85" t="s">
        <v>236</v>
      </c>
      <c r="E46" s="85">
        <v>0</v>
      </c>
      <c r="F46" s="85" t="s">
        <v>232</v>
      </c>
    </row>
    <row r="47" spans="1:6" x14ac:dyDescent="0.25">
      <c r="A47" s="82">
        <v>46029.942916666667</v>
      </c>
      <c r="B47" s="83" t="s">
        <v>237</v>
      </c>
      <c r="C47" s="83" t="s">
        <v>238</v>
      </c>
      <c r="D47" s="83" t="s">
        <v>233</v>
      </c>
      <c r="E47" s="83">
        <v>81468.210000000006</v>
      </c>
      <c r="F47" s="83" t="s">
        <v>232</v>
      </c>
    </row>
    <row r="48" spans="1:6" x14ac:dyDescent="0.25">
      <c r="A48" s="84">
        <v>46029.943344907406</v>
      </c>
      <c r="B48" s="85" t="s">
        <v>237</v>
      </c>
      <c r="C48" s="85" t="s">
        <v>239</v>
      </c>
      <c r="D48" s="85" t="s">
        <v>236</v>
      </c>
      <c r="E48" s="85">
        <v>37.5</v>
      </c>
      <c r="F48" s="85" t="s">
        <v>232</v>
      </c>
    </row>
    <row r="49" spans="1:6" x14ac:dyDescent="0.25">
      <c r="A49" s="84">
        <v>46029.974479166667</v>
      </c>
      <c r="B49" s="85" t="s">
        <v>234</v>
      </c>
      <c r="C49" s="85" t="s">
        <v>235</v>
      </c>
      <c r="D49" s="85" t="s">
        <v>236</v>
      </c>
      <c r="E49" s="85">
        <v>0</v>
      </c>
      <c r="F49" s="85" t="s">
        <v>232</v>
      </c>
    </row>
    <row r="50" spans="1:6" x14ac:dyDescent="0.25">
      <c r="A50" s="84">
        <v>46029.97934027778</v>
      </c>
      <c r="B50" s="85" t="s">
        <v>234</v>
      </c>
      <c r="C50" s="85" t="s">
        <v>235</v>
      </c>
      <c r="D50" s="85" t="s">
        <v>236</v>
      </c>
      <c r="E50" s="85">
        <v>0</v>
      </c>
      <c r="F50" s="85" t="s">
        <v>232</v>
      </c>
    </row>
    <row r="51" spans="1:6" x14ac:dyDescent="0.25">
      <c r="A51" s="84">
        <v>46029.982638888891</v>
      </c>
      <c r="B51" s="85" t="s">
        <v>234</v>
      </c>
      <c r="C51" s="85" t="s">
        <v>235</v>
      </c>
      <c r="D51" s="85" t="s">
        <v>236</v>
      </c>
      <c r="E51" s="85">
        <v>0</v>
      </c>
      <c r="F51" s="85" t="s">
        <v>232</v>
      </c>
    </row>
    <row r="52" spans="1:6" x14ac:dyDescent="0.25">
      <c r="A52" s="84">
        <v>46029.983483796299</v>
      </c>
      <c r="B52" s="85" t="s">
        <v>234</v>
      </c>
      <c r="C52" s="85" t="s">
        <v>235</v>
      </c>
      <c r="D52" s="85" t="s">
        <v>236</v>
      </c>
      <c r="E52" s="85">
        <v>0</v>
      </c>
      <c r="F52" s="85" t="s">
        <v>232</v>
      </c>
    </row>
    <row r="53" spans="1:6" x14ac:dyDescent="0.25">
      <c r="A53" s="84">
        <v>46029.985810185186</v>
      </c>
      <c r="B53" s="85" t="s">
        <v>234</v>
      </c>
      <c r="C53" s="85" t="s">
        <v>235</v>
      </c>
      <c r="D53" s="85" t="s">
        <v>236</v>
      </c>
      <c r="E53" s="85">
        <v>0</v>
      </c>
      <c r="F53" s="85" t="s">
        <v>232</v>
      </c>
    </row>
    <row r="54" spans="1:6" x14ac:dyDescent="0.25">
      <c r="A54" s="84">
        <v>46029.986180555556</v>
      </c>
      <c r="B54" s="85" t="s">
        <v>234</v>
      </c>
      <c r="C54" s="85" t="s">
        <v>235</v>
      </c>
      <c r="D54" s="85" t="s">
        <v>236</v>
      </c>
      <c r="E54" s="85">
        <v>0</v>
      </c>
      <c r="F54" s="85" t="s">
        <v>232</v>
      </c>
    </row>
    <row r="55" spans="1:6" x14ac:dyDescent="0.25">
      <c r="A55" s="84">
        <v>46030.078402777777</v>
      </c>
      <c r="B55" s="85" t="s">
        <v>234</v>
      </c>
      <c r="C55" s="85" t="s">
        <v>235</v>
      </c>
      <c r="D55" s="85" t="s">
        <v>236</v>
      </c>
      <c r="E55" s="85">
        <v>0</v>
      </c>
      <c r="F55" s="85" t="s">
        <v>232</v>
      </c>
    </row>
    <row r="56" spans="1:6" x14ac:dyDescent="0.25">
      <c r="A56" s="82">
        <v>46030.078472222223</v>
      </c>
      <c r="B56" s="83" t="s">
        <v>237</v>
      </c>
      <c r="C56" s="83" t="s">
        <v>238</v>
      </c>
      <c r="D56" s="83" t="s">
        <v>233</v>
      </c>
      <c r="E56" s="83">
        <v>6780.67</v>
      </c>
      <c r="F56" s="83" t="s">
        <v>232</v>
      </c>
    </row>
    <row r="57" spans="1:6" x14ac:dyDescent="0.25">
      <c r="A57" s="84">
        <v>46030.078819444447</v>
      </c>
      <c r="B57" s="85" t="s">
        <v>237</v>
      </c>
      <c r="C57" s="85" t="s">
        <v>239</v>
      </c>
      <c r="D57" s="85" t="s">
        <v>236</v>
      </c>
      <c r="E57" s="85">
        <v>30.06</v>
      </c>
      <c r="F57" s="85" t="s">
        <v>232</v>
      </c>
    </row>
    <row r="58" spans="1:6" x14ac:dyDescent="0.25">
      <c r="A58" s="82">
        <v>46030.081076388888</v>
      </c>
      <c r="B58" s="83" t="s">
        <v>237</v>
      </c>
      <c r="C58" s="83" t="s">
        <v>238</v>
      </c>
      <c r="D58" s="83" t="s">
        <v>233</v>
      </c>
      <c r="E58" s="83">
        <v>7005.35</v>
      </c>
      <c r="F58" s="83" t="s">
        <v>232</v>
      </c>
    </row>
    <row r="59" spans="1:6" x14ac:dyDescent="0.25">
      <c r="A59" s="84">
        <v>46030.081412037034</v>
      </c>
      <c r="B59" s="85" t="s">
        <v>237</v>
      </c>
      <c r="C59" s="85" t="s">
        <v>239</v>
      </c>
      <c r="D59" s="85" t="s">
        <v>236</v>
      </c>
      <c r="E59" s="85">
        <v>29.42</v>
      </c>
      <c r="F59" s="85" t="s">
        <v>232</v>
      </c>
    </row>
    <row r="60" spans="1:6" x14ac:dyDescent="0.25">
      <c r="A60" s="82">
        <v>46030.082372685189</v>
      </c>
      <c r="B60" s="83" t="s">
        <v>237</v>
      </c>
      <c r="C60" s="83" t="s">
        <v>238</v>
      </c>
      <c r="D60" s="83" t="s">
        <v>233</v>
      </c>
      <c r="E60" s="83">
        <v>7117.26</v>
      </c>
      <c r="F60" s="83" t="s">
        <v>232</v>
      </c>
    </row>
    <row r="61" spans="1:6" x14ac:dyDescent="0.25">
      <c r="A61" s="84">
        <v>46030.083715277775</v>
      </c>
      <c r="B61" s="85" t="s">
        <v>237</v>
      </c>
      <c r="C61" s="85" t="s">
        <v>239</v>
      </c>
      <c r="D61" s="85" t="s">
        <v>236</v>
      </c>
      <c r="E61" s="85">
        <v>116.26</v>
      </c>
      <c r="F61" s="85" t="s">
        <v>232</v>
      </c>
    </row>
    <row r="62" spans="1:6" x14ac:dyDescent="0.25">
      <c r="A62" s="82">
        <v>46030.083796296298</v>
      </c>
      <c r="B62" s="83" t="s">
        <v>240</v>
      </c>
      <c r="C62" s="83" t="s">
        <v>252</v>
      </c>
      <c r="D62" s="83" t="s">
        <v>233</v>
      </c>
      <c r="E62" s="83">
        <v>7240.66</v>
      </c>
      <c r="F62" s="83" t="s">
        <v>232</v>
      </c>
    </row>
    <row r="63" spans="1:6" x14ac:dyDescent="0.25">
      <c r="A63" s="84">
        <v>46030.083796296298</v>
      </c>
      <c r="B63" s="85" t="s">
        <v>241</v>
      </c>
      <c r="C63" s="85" t="s">
        <v>253</v>
      </c>
      <c r="D63" s="85" t="s">
        <v>236</v>
      </c>
      <c r="E63" s="85">
        <v>0</v>
      </c>
      <c r="F63" s="85" t="s">
        <v>232</v>
      </c>
    </row>
    <row r="64" spans="1:6" x14ac:dyDescent="0.25">
      <c r="A64" s="84">
        <v>46030.083877314813</v>
      </c>
      <c r="B64" s="85" t="s">
        <v>240</v>
      </c>
      <c r="C64" s="85" t="s">
        <v>243</v>
      </c>
      <c r="D64" s="85" t="s">
        <v>236</v>
      </c>
      <c r="E64" s="85">
        <v>6.51</v>
      </c>
      <c r="F64" s="85" t="s">
        <v>232</v>
      </c>
    </row>
    <row r="65" spans="1:6" x14ac:dyDescent="0.25">
      <c r="A65" s="82">
        <v>46030.084467592591</v>
      </c>
      <c r="B65" s="83" t="s">
        <v>237</v>
      </c>
      <c r="C65" s="83" t="s">
        <v>238</v>
      </c>
      <c r="D65" s="83" t="s">
        <v>233</v>
      </c>
      <c r="E65" s="83">
        <v>7298.37</v>
      </c>
      <c r="F65" s="83" t="s">
        <v>232</v>
      </c>
    </row>
    <row r="66" spans="1:6" x14ac:dyDescent="0.25">
      <c r="A66" s="84">
        <v>46030.084722222222</v>
      </c>
      <c r="B66" s="85" t="s">
        <v>237</v>
      </c>
      <c r="C66" s="85" t="s">
        <v>239</v>
      </c>
      <c r="D66" s="85" t="s">
        <v>236</v>
      </c>
      <c r="E66" s="85">
        <v>22.28</v>
      </c>
      <c r="F66" s="85" t="s">
        <v>232</v>
      </c>
    </row>
    <row r="67" spans="1:6" x14ac:dyDescent="0.25">
      <c r="A67" s="84">
        <v>46030.102349537039</v>
      </c>
      <c r="B67" s="85" t="s">
        <v>234</v>
      </c>
      <c r="C67" s="85" t="s">
        <v>235</v>
      </c>
      <c r="D67" s="85" t="s">
        <v>236</v>
      </c>
      <c r="E67" s="85">
        <v>0</v>
      </c>
      <c r="F67" s="85" t="s">
        <v>232</v>
      </c>
    </row>
    <row r="68" spans="1:6" x14ac:dyDescent="0.25">
      <c r="A68" s="84">
        <v>46030.102824074071</v>
      </c>
      <c r="B68" s="85" t="s">
        <v>234</v>
      </c>
      <c r="C68" s="85" t="s">
        <v>235</v>
      </c>
      <c r="D68" s="85" t="s">
        <v>236</v>
      </c>
      <c r="E68" s="85">
        <v>0</v>
      </c>
      <c r="F68" s="85" t="s">
        <v>232</v>
      </c>
    </row>
    <row r="69" spans="1:6" x14ac:dyDescent="0.25">
      <c r="A69" s="82">
        <v>46030.102870370371</v>
      </c>
      <c r="B69" s="83" t="s">
        <v>237</v>
      </c>
      <c r="C69" s="83" t="s">
        <v>238</v>
      </c>
      <c r="D69" s="83" t="s">
        <v>233</v>
      </c>
      <c r="E69" s="83">
        <v>8888.32</v>
      </c>
      <c r="F69" s="83" t="s">
        <v>232</v>
      </c>
    </row>
    <row r="70" spans="1:6" x14ac:dyDescent="0.25">
      <c r="A70" s="84">
        <v>46030.103182870371</v>
      </c>
      <c r="B70" s="85" t="s">
        <v>237</v>
      </c>
      <c r="C70" s="85" t="s">
        <v>239</v>
      </c>
      <c r="D70" s="85" t="s">
        <v>236</v>
      </c>
      <c r="E70" s="85">
        <v>27.49</v>
      </c>
      <c r="F70" s="85" t="s">
        <v>232</v>
      </c>
    </row>
    <row r="71" spans="1:6" x14ac:dyDescent="0.25">
      <c r="A71" s="82">
        <v>46030.106435185182</v>
      </c>
      <c r="B71" s="83" t="s">
        <v>237</v>
      </c>
      <c r="C71" s="83" t="s">
        <v>238</v>
      </c>
      <c r="D71" s="83" t="s">
        <v>233</v>
      </c>
      <c r="E71" s="83">
        <v>9196.14</v>
      </c>
      <c r="F71" s="83" t="s">
        <v>232</v>
      </c>
    </row>
    <row r="72" spans="1:6" x14ac:dyDescent="0.25">
      <c r="A72" s="84">
        <v>46030.10659722222</v>
      </c>
      <c r="B72" s="85" t="s">
        <v>237</v>
      </c>
      <c r="C72" s="85" t="s">
        <v>239</v>
      </c>
      <c r="D72" s="85" t="s">
        <v>236</v>
      </c>
      <c r="E72" s="85">
        <v>14.14</v>
      </c>
      <c r="F72" s="85" t="s">
        <v>232</v>
      </c>
    </row>
    <row r="73" spans="1:6" x14ac:dyDescent="0.25">
      <c r="A73" s="82">
        <v>46030.107615740744</v>
      </c>
      <c r="B73" s="83" t="s">
        <v>237</v>
      </c>
      <c r="C73" s="83" t="s">
        <v>238</v>
      </c>
      <c r="D73" s="83" t="s">
        <v>233</v>
      </c>
      <c r="E73" s="83">
        <v>9298.2099999999991</v>
      </c>
      <c r="F73" s="83" t="s">
        <v>232</v>
      </c>
    </row>
    <row r="74" spans="1:6" x14ac:dyDescent="0.25">
      <c r="A74" s="84">
        <v>46030.107800925929</v>
      </c>
      <c r="B74" s="85" t="s">
        <v>237</v>
      </c>
      <c r="C74" s="85" t="s">
        <v>239</v>
      </c>
      <c r="D74" s="85" t="s">
        <v>236</v>
      </c>
      <c r="E74" s="85">
        <v>15.94</v>
      </c>
      <c r="F74" s="85" t="s">
        <v>232</v>
      </c>
    </row>
    <row r="75" spans="1:6" x14ac:dyDescent="0.25">
      <c r="A75" s="84">
        <v>46030.112187500003</v>
      </c>
      <c r="B75" s="85" t="s">
        <v>234</v>
      </c>
      <c r="C75" s="85" t="s">
        <v>235</v>
      </c>
      <c r="D75" s="85" t="s">
        <v>236</v>
      </c>
      <c r="E75" s="85">
        <v>0</v>
      </c>
      <c r="F75" s="85" t="s">
        <v>232</v>
      </c>
    </row>
    <row r="76" spans="1:6" x14ac:dyDescent="0.25">
      <c r="A76" s="82">
        <v>46030.112696759257</v>
      </c>
      <c r="B76" s="83" t="s">
        <v>237</v>
      </c>
      <c r="C76" s="83" t="s">
        <v>238</v>
      </c>
      <c r="D76" s="83" t="s">
        <v>233</v>
      </c>
      <c r="E76" s="83">
        <v>9737.51</v>
      </c>
      <c r="F76" s="83" t="s">
        <v>232</v>
      </c>
    </row>
    <row r="77" spans="1:6" x14ac:dyDescent="0.25">
      <c r="A77" s="84">
        <v>46030.112986111111</v>
      </c>
      <c r="B77" s="85" t="s">
        <v>237</v>
      </c>
      <c r="C77" s="85" t="s">
        <v>239</v>
      </c>
      <c r="D77" s="85" t="s">
        <v>236</v>
      </c>
      <c r="E77" s="85">
        <v>25.31</v>
      </c>
      <c r="F77" s="85" t="s">
        <v>232</v>
      </c>
    </row>
    <row r="78" spans="1:6" x14ac:dyDescent="0.25">
      <c r="A78" s="84">
        <v>46030.942314814813</v>
      </c>
      <c r="B78" s="85" t="s">
        <v>234</v>
      </c>
      <c r="C78" s="85" t="s">
        <v>235</v>
      </c>
      <c r="D78" s="85" t="s">
        <v>236</v>
      </c>
      <c r="E78" s="85">
        <v>0</v>
      </c>
      <c r="F78" s="85" t="s">
        <v>232</v>
      </c>
    </row>
    <row r="79" spans="1:6" x14ac:dyDescent="0.25">
      <c r="A79" s="82">
        <v>46030.942372685182</v>
      </c>
      <c r="B79" s="83" t="s">
        <v>237</v>
      </c>
      <c r="C79" s="83" t="s">
        <v>238</v>
      </c>
      <c r="D79" s="83" t="s">
        <v>233</v>
      </c>
      <c r="E79" s="83">
        <v>81421.45</v>
      </c>
      <c r="F79" s="83" t="s">
        <v>232</v>
      </c>
    </row>
    <row r="80" spans="1:6" x14ac:dyDescent="0.25">
      <c r="A80" s="84">
        <v>46030.942627314813</v>
      </c>
      <c r="B80" s="85" t="s">
        <v>237</v>
      </c>
      <c r="C80" s="85" t="s">
        <v>239</v>
      </c>
      <c r="D80" s="85" t="s">
        <v>236</v>
      </c>
      <c r="E80" s="85">
        <v>21.78</v>
      </c>
      <c r="F80" s="85" t="s">
        <v>232</v>
      </c>
    </row>
    <row r="81" spans="1:6" x14ac:dyDescent="0.25">
      <c r="A81" s="82">
        <v>46030.946527777778</v>
      </c>
      <c r="B81" s="83" t="s">
        <v>237</v>
      </c>
      <c r="C81" s="83" t="s">
        <v>238</v>
      </c>
      <c r="D81" s="83" t="s">
        <v>233</v>
      </c>
      <c r="E81" s="83">
        <v>81780.509999999995</v>
      </c>
      <c r="F81" s="83" t="s">
        <v>232</v>
      </c>
    </row>
    <row r="82" spans="1:6" x14ac:dyDescent="0.25">
      <c r="A82" s="84">
        <v>46030.94667824074</v>
      </c>
      <c r="B82" s="85" t="s">
        <v>237</v>
      </c>
      <c r="C82" s="85" t="s">
        <v>239</v>
      </c>
      <c r="D82" s="85" t="s">
        <v>236</v>
      </c>
      <c r="E82" s="85">
        <v>13.32</v>
      </c>
      <c r="F82" s="85" t="s">
        <v>232</v>
      </c>
    </row>
    <row r="83" spans="1:6" x14ac:dyDescent="0.25">
      <c r="A83" s="84">
        <v>46030.983020833337</v>
      </c>
      <c r="B83" s="85" t="s">
        <v>234</v>
      </c>
      <c r="C83" s="85" t="s">
        <v>235</v>
      </c>
      <c r="D83" s="85" t="s">
        <v>236</v>
      </c>
      <c r="E83" s="85">
        <v>0</v>
      </c>
      <c r="F83" s="85" t="s">
        <v>232</v>
      </c>
    </row>
    <row r="84" spans="1:6" x14ac:dyDescent="0.25">
      <c r="A84" s="82">
        <v>46030.983078703706</v>
      </c>
      <c r="B84" s="83" t="s">
        <v>237</v>
      </c>
      <c r="C84" s="83" t="s">
        <v>238</v>
      </c>
      <c r="D84" s="83" t="s">
        <v>233</v>
      </c>
      <c r="E84" s="83">
        <v>84938.37</v>
      </c>
      <c r="F84" s="83" t="s">
        <v>232</v>
      </c>
    </row>
    <row r="85" spans="1:6" x14ac:dyDescent="0.25">
      <c r="A85" s="84">
        <v>46030.983391203707</v>
      </c>
      <c r="B85" s="85" t="s">
        <v>237</v>
      </c>
      <c r="C85" s="85" t="s">
        <v>239</v>
      </c>
      <c r="D85" s="85" t="s">
        <v>236</v>
      </c>
      <c r="E85" s="85">
        <v>27.45</v>
      </c>
      <c r="F85" s="85" t="s">
        <v>232</v>
      </c>
    </row>
    <row r="86" spans="1:6" x14ac:dyDescent="0.25">
      <c r="A86" s="84">
        <v>46031.01630787037</v>
      </c>
      <c r="B86" s="85" t="s">
        <v>234</v>
      </c>
      <c r="C86" s="85" t="s">
        <v>235</v>
      </c>
      <c r="D86" s="85" t="s">
        <v>236</v>
      </c>
      <c r="E86" s="85">
        <v>0</v>
      </c>
      <c r="F86" s="85" t="s">
        <v>232</v>
      </c>
    </row>
    <row r="87" spans="1:6" x14ac:dyDescent="0.25">
      <c r="A87" s="84">
        <v>46031.027291666665</v>
      </c>
      <c r="B87" s="85" t="s">
        <v>234</v>
      </c>
      <c r="C87" s="85" t="s">
        <v>235</v>
      </c>
      <c r="D87" s="85" t="s">
        <v>236</v>
      </c>
      <c r="E87" s="85">
        <v>0</v>
      </c>
      <c r="F87" s="85" t="s">
        <v>232</v>
      </c>
    </row>
    <row r="88" spans="1:6" x14ac:dyDescent="0.25">
      <c r="A88" s="82">
        <v>46031.028124999997</v>
      </c>
      <c r="B88" s="83" t="s">
        <v>237</v>
      </c>
      <c r="C88" s="83" t="s">
        <v>238</v>
      </c>
      <c r="D88" s="83" t="s">
        <v>233</v>
      </c>
      <c r="E88" s="83">
        <v>2430.3000000000002</v>
      </c>
      <c r="F88" s="83" t="s">
        <v>232</v>
      </c>
    </row>
    <row r="89" spans="1:6" x14ac:dyDescent="0.25">
      <c r="A89" s="84">
        <v>46031.028495370374</v>
      </c>
      <c r="B89" s="85" t="s">
        <v>237</v>
      </c>
      <c r="C89" s="85" t="s">
        <v>239</v>
      </c>
      <c r="D89" s="85" t="s">
        <v>236</v>
      </c>
      <c r="E89" s="85">
        <v>32.06</v>
      </c>
      <c r="F89" s="85" t="s">
        <v>232</v>
      </c>
    </row>
    <row r="90" spans="1:6" x14ac:dyDescent="0.25">
      <c r="A90" s="84">
        <v>46031.061840277776</v>
      </c>
      <c r="B90" s="85" t="s">
        <v>234</v>
      </c>
      <c r="C90" s="85" t="s">
        <v>235</v>
      </c>
      <c r="D90" s="85" t="s">
        <v>236</v>
      </c>
      <c r="E90" s="85">
        <v>0</v>
      </c>
      <c r="F90" s="85" t="s">
        <v>232</v>
      </c>
    </row>
    <row r="91" spans="1:6" x14ac:dyDescent="0.25">
      <c r="A91" s="82">
        <v>46031.063055555554</v>
      </c>
      <c r="B91" s="83" t="s">
        <v>237</v>
      </c>
      <c r="C91" s="83" t="s">
        <v>238</v>
      </c>
      <c r="D91" s="83" t="s">
        <v>233</v>
      </c>
      <c r="E91" s="83">
        <v>5448.32</v>
      </c>
      <c r="F91" s="83" t="s">
        <v>232</v>
      </c>
    </row>
    <row r="92" spans="1:6" x14ac:dyDescent="0.25">
      <c r="A92" s="84">
        <v>46031.063472222224</v>
      </c>
      <c r="B92" s="85" t="s">
        <v>237</v>
      </c>
      <c r="C92" s="85" t="s">
        <v>239</v>
      </c>
      <c r="D92" s="85" t="s">
        <v>236</v>
      </c>
      <c r="E92" s="85">
        <v>36.43</v>
      </c>
      <c r="F92" s="85" t="s">
        <v>232</v>
      </c>
    </row>
    <row r="93" spans="1:6" x14ac:dyDescent="0.25">
      <c r="A93" s="84">
        <v>46031.082974537036</v>
      </c>
      <c r="B93" s="85" t="s">
        <v>234</v>
      </c>
      <c r="C93" s="85" t="s">
        <v>235</v>
      </c>
      <c r="D93" s="85" t="s">
        <v>236</v>
      </c>
      <c r="E93" s="85">
        <v>0</v>
      </c>
      <c r="F93" s="85" t="s">
        <v>232</v>
      </c>
    </row>
    <row r="94" spans="1:6" x14ac:dyDescent="0.25">
      <c r="A94" s="82">
        <v>46031.083761574075</v>
      </c>
      <c r="B94" s="83" t="s">
        <v>237</v>
      </c>
      <c r="C94" s="83" t="s">
        <v>238</v>
      </c>
      <c r="D94" s="83" t="s">
        <v>233</v>
      </c>
      <c r="E94" s="83">
        <v>7237.94</v>
      </c>
      <c r="F94" s="83" t="s">
        <v>232</v>
      </c>
    </row>
    <row r="95" spans="1:6" x14ac:dyDescent="0.25">
      <c r="A95" s="84">
        <v>46031.084039351852</v>
      </c>
      <c r="B95" s="85" t="s">
        <v>237</v>
      </c>
      <c r="C95" s="85" t="s">
        <v>239</v>
      </c>
      <c r="D95" s="85" t="s">
        <v>236</v>
      </c>
      <c r="E95" s="85">
        <v>23.58</v>
      </c>
      <c r="F95" s="85" t="s">
        <v>232</v>
      </c>
    </row>
    <row r="96" spans="1:6" x14ac:dyDescent="0.25">
      <c r="A96" s="84">
        <v>46031.096064814818</v>
      </c>
      <c r="B96" s="85" t="s">
        <v>234</v>
      </c>
      <c r="C96" s="85" t="s">
        <v>235</v>
      </c>
      <c r="D96" s="85" t="s">
        <v>236</v>
      </c>
      <c r="E96" s="85">
        <v>0</v>
      </c>
      <c r="F96" s="85" t="s">
        <v>232</v>
      </c>
    </row>
    <row r="97" spans="1:6" x14ac:dyDescent="0.25">
      <c r="A97" s="82">
        <v>46031.096736111111</v>
      </c>
      <c r="B97" s="83" t="s">
        <v>237</v>
      </c>
      <c r="C97" s="83" t="s">
        <v>238</v>
      </c>
      <c r="D97" s="83" t="s">
        <v>233</v>
      </c>
      <c r="E97" s="83">
        <v>8358.9699999999993</v>
      </c>
      <c r="F97" s="83" t="s">
        <v>232</v>
      </c>
    </row>
    <row r="98" spans="1:6" x14ac:dyDescent="0.25">
      <c r="A98" s="84">
        <v>46031.097118055557</v>
      </c>
      <c r="B98" s="85" t="s">
        <v>237</v>
      </c>
      <c r="C98" s="85" t="s">
        <v>239</v>
      </c>
      <c r="D98" s="85" t="s">
        <v>236</v>
      </c>
      <c r="E98" s="85">
        <v>32.93</v>
      </c>
      <c r="F98" s="85" t="s">
        <v>232</v>
      </c>
    </row>
    <row r="99" spans="1:6" x14ac:dyDescent="0.25">
      <c r="A99" s="84">
        <v>46032.130104166667</v>
      </c>
      <c r="B99" s="85" t="s">
        <v>234</v>
      </c>
      <c r="C99" s="85" t="s">
        <v>235</v>
      </c>
      <c r="D99" s="85" t="s">
        <v>236</v>
      </c>
      <c r="E99" s="85">
        <v>0</v>
      </c>
      <c r="F99" s="85" t="s">
        <v>232</v>
      </c>
    </row>
    <row r="100" spans="1:6" x14ac:dyDescent="0.25">
      <c r="A100" s="5">
        <v>46032.180497685185</v>
      </c>
      <c r="B100" t="s">
        <v>254</v>
      </c>
      <c r="C100" t="s">
        <v>255</v>
      </c>
      <c r="D100" t="s">
        <v>231</v>
      </c>
      <c r="E100">
        <v>0</v>
      </c>
      <c r="F100" t="s">
        <v>232</v>
      </c>
    </row>
    <row r="101" spans="1:6" x14ac:dyDescent="0.25">
      <c r="A101" s="84">
        <v>46085.020532407405</v>
      </c>
      <c r="B101" s="85" t="s">
        <v>234</v>
      </c>
      <c r="C101" s="85" t="s">
        <v>235</v>
      </c>
      <c r="D101" s="85" t="s">
        <v>236</v>
      </c>
      <c r="E101" s="85">
        <v>0</v>
      </c>
      <c r="F101" s="85" t="s">
        <v>256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tabUchetVhIsh" label="УчётВхИсх" insertAfterMso="TabData">
        <!-- Группа: Обработка данных -->
        <group id="grpProcessing" label="Обработка данных">
          <button id="btnMassProcess" label="📊 Массовая обработка" size="large" onAction="RibbonCallbacks.btnMassProcess_Click" screentip="Массовая обработка записей" supertip="Автоматическое сопоставление всех записей ВхИсх с проводками 1С"/>
          <separator id="sep1"/>
          <button id="btnMatchDoverennosti" label="🔗 Сопоставить доверенности" size="large" onAction="RibbonCallbacks.btnMatchDoverennosti_Click" screentip="Сопоставление доверенностей" supertip="Поиск соответствий между доверенностями и операциями"/>
        </group>
        <!-- Группа: Анализ и отчеты -->
        <group id="grpAnalysis" label="Анализ и отчеты">
          <button id="btnStatistics" label="📈 Статистика" size="normal" onAction="RibbonCallbacks.btnStatistics_Click" screentip="Статистика интеграции" supertip="Отчет по результатам сопоставления с 1С"/>
          <button id="btnAnalyzeOperations" label="🔍 Анализ операций" size="normal" onAction="RibbonCallbacks.btnAnalyzeOperations_Click" screentip="Анализ операций" supertip="Детальный анализ операций и документооборота"/>
          <button id="btnShowLog" label="📋 Журнал" size="normal" onAction="RibbonCallbacks.btnShowLog_Click" screentip="Журнал операций" supertip="Просмотр журнала всех выполненных операций"/>
          <!-- НОВАЯ КНОПКА -->
          <separator id="sep3"/>
          <button id="btnGenerateWordLetters" label="📝 Письма по доверенностям" size="large" onAction="RibbonCallbacks.btnGenerateWordLetters_Click" screentip="Формирование писем" supertip="Создание Word-документов с письмами по несопоставленным доверенностям"/>
        </group>
        <!-- Группа: Управление -->
        <group id="grpManagement" label="Управление">
          <button id="btnSettings" label="⚙️ Настройки" size="normal" onAction="RibbonCallbacks.btnSettings_Click" screentip="Настройки системы" supertip="Конфигурация параметров системы"/>
          <button id="btnClearMarks" label="🗑️ Очистить отметки" size="normal" onAction="RibbonCallbacks.btnClearMarks_Click" screentip="Очистить отметки" supertip="Очистить все отметки об исполнении"/>
          <separator id="sep2"/>
          <button id="btnBackupManager" label="💾 Резервные копии" size="normal" onAction="RibbonCallbacks.btnBackupManager_Click" screentip="Менеджер копий" supertip="Управление резервными копиями"/>
          <button id="btnHelp" label="❓ Справка" size="normal" onAction="RibbonCallbacks.btnHelp_Click" screentip="Справка" supertip="Справка по использованию системы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19</vt:i4>
      </vt:variant>
    </vt:vector>
  </HeadingPairs>
  <TitlesOfParts>
    <vt:vector size="29" baseType="lpstr">
      <vt:lpstr>Отчеты</vt:lpstr>
      <vt:lpstr>Настройки_Отчетов</vt:lpstr>
      <vt:lpstr>Шаблоны</vt:lpstr>
      <vt:lpstr>Dashboard</vt:lpstr>
      <vt:lpstr>Статус_Документов</vt:lpstr>
      <vt:lpstr>Отчет_Службы</vt:lpstr>
      <vt:lpstr>Задержки</vt:lpstr>
      <vt:lpstr>ВхИсх</vt:lpstr>
      <vt:lpstr>Настройки</vt:lpstr>
      <vt:lpstr>Настройки_Системы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  <vt:lpstr>ВхИсх!Область_печати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2026-03-03T21:34:56Z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